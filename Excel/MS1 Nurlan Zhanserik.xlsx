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" sheetId="1" r:id="rId5"/>
    <sheet state="visible" name="ID" sheetId="2" r:id="rId6"/>
  </sheets>
  <definedNames>
    <definedName hidden="1" localSheetId="0" name="_xlnm._FilterDatabase">Datas!$A$1:$C$1000</definedName>
  </definedNames>
  <calcPr/>
</workbook>
</file>

<file path=xl/sharedStrings.xml><?xml version="1.0" encoding="utf-8"?>
<sst xmlns="http://schemas.openxmlformats.org/spreadsheetml/2006/main" count="362" uniqueCount="97">
  <si>
    <t>Date</t>
  </si>
  <si>
    <t>OpenDoor</t>
  </si>
  <si>
    <t>Toyota</t>
  </si>
  <si>
    <t>Weekly return for OpenDoor</t>
  </si>
  <si>
    <t>Weekly return for Toyota</t>
  </si>
  <si>
    <t>Max</t>
  </si>
  <si>
    <t>Min</t>
  </si>
  <si>
    <t>range:</t>
  </si>
  <si>
    <t>Q3</t>
  </si>
  <si>
    <t>Q1</t>
  </si>
  <si>
    <t>IQR</t>
  </si>
  <si>
    <t>Mean</t>
  </si>
  <si>
    <t>Mean Absolute Deviation</t>
  </si>
  <si>
    <t>Sample Variance</t>
  </si>
  <si>
    <t>Sample 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</si>
  <si>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</si>
  <si>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</si>
  <si>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</si>
  <si>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</si>
  <si>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</si>
  <si>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</si>
  <si>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</si>
  <si>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</si>
  <si>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</si>
  <si>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</si>
  <si>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</si>
  <si>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</si>
  <si>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</si>
  <si>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</si>
  <si>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</si>
  <si>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</si>
  <si>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</si>
  <si>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</si>
  <si>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</si>
  <si>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</si>
  <si>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</si>
  <si>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</si>
  <si>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</si>
  <si>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</si>
  <si>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ID</t>
  </si>
  <si>
    <t>Name</t>
  </si>
  <si>
    <t>Gender</t>
  </si>
  <si>
    <t>MBTI Type</t>
  </si>
  <si>
    <t>1. What are the two tables created during the anonymization process, and what is the purpose of each?</t>
  </si>
  <si>
    <t>Sophia</t>
  </si>
  <si>
    <t>Female</t>
  </si>
  <si>
    <t>ESFP</t>
  </si>
  <si>
    <t>Two tables are created:</t>
  </si>
  <si>
    <t>Daniel</t>
  </si>
  <si>
    <t>ENTJ</t>
  </si>
  <si>
    <t>Jane</t>
  </si>
  <si>
    <t>ESTJ</t>
  </si>
  <si>
    <t>Anonymized dataset – contains IDs instead of names and is used for analysis while protecting privacy.</t>
  </si>
  <si>
    <t>Chris</t>
  </si>
  <si>
    <t>Male</t>
  </si>
  <si>
    <t>ISTJ</t>
  </si>
  <si>
    <t>ISFJ</t>
  </si>
  <si>
    <t>Mapping table – contains both names and IDs and is stored securely to allow identification if necessary.</t>
  </si>
  <si>
    <t>Emily</t>
  </si>
  <si>
    <t>ESTP</t>
  </si>
  <si>
    <t>2. What are the key steps involved in anonymizing a dataset by replacing names with unique IDs?</t>
  </si>
  <si>
    <t>Amelia</t>
  </si>
  <si>
    <t>ENFP</t>
  </si>
  <si>
    <t>Robert</t>
  </si>
  <si>
    <t>INTP</t>
  </si>
  <si>
    <t>Create a unique ID for each record.</t>
  </si>
  <si>
    <t>William</t>
  </si>
  <si>
    <t>INFP</t>
  </si>
  <si>
    <t>Assign IDs using a formula.</t>
  </si>
  <si>
    <t>Mia</t>
  </si>
  <si>
    <t>ISTP</t>
  </si>
  <si>
    <t>Copy and paste IDs as values.</t>
  </si>
  <si>
    <t>Create a mapping table with names and IDs.</t>
  </si>
  <si>
    <t>ENTP</t>
  </si>
  <si>
    <t>Remove names from the main dataset.</t>
  </si>
  <si>
    <t>Anna</t>
  </si>
  <si>
    <t>3. Why is anonymizing a dataset important?</t>
  </si>
  <si>
    <t>Matthew</t>
  </si>
  <si>
    <t>Anonymization protects personal privacy, ensures ethical data use, and prevents identification of individuals while allowing safe data analysis.</t>
  </si>
  <si>
    <t>David</t>
  </si>
  <si>
    <t>4. Why is saving the mapping table with both names and IDs critical?</t>
  </si>
  <si>
    <t>John</t>
  </si>
  <si>
    <t>It allows data recovery and verification. Without it, the original identities cannot be linked to the dataset again.</t>
  </si>
  <si>
    <t>5. What does the formula =TEXT(ROW(A2)-1,"000") accomplish?</t>
  </si>
  <si>
    <t>INTJ</t>
  </si>
  <si>
    <t>It generates sequential IDs (001, 002, 003) based on the row number and formats them as three-digit numbers. IDs must be pasted as values so they remain fixed and do not change when the dataset is modified.</t>
  </si>
  <si>
    <t>INFJ</t>
  </si>
  <si>
    <t>Emma</t>
  </si>
  <si>
    <t>ISFP</t>
  </si>
  <si>
    <t>ENFJ</t>
  </si>
  <si>
    <t>Joseph</t>
  </si>
  <si>
    <t>Olivia</t>
  </si>
  <si>
    <t>Sarah</t>
  </si>
  <si>
    <t>ESFJ</t>
  </si>
  <si>
    <t>Ella</t>
  </si>
  <si>
    <t>Michael</t>
  </si>
  <si>
    <t>James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</si>
</sst>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mmm d, yyyy"/>
    <numFmt numFmtId="166" formatCode="mmmm d, 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Aptos Narrow"/>
    </font>
    <font>
      <b/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10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0.63"/>
  </cols>
  <sheetData>
    <row r="1" ht="41.25" customHeight="1">
      <c r="A1" s="1" t="s">
        <v>0</v>
      </c>
      <c r="B1" s="1" t="s">
        <v>1</v>
      </c>
      <c r="C1" s="1" t="s">
        <v>2</v>
      </c>
      <c r="D1" s="1"/>
      <c r="E1" s="1" t="s">
        <v>1</v>
      </c>
      <c r="F1" s="1" t="s">
        <v>2</v>
      </c>
      <c r="G1" s="1"/>
      <c r="H1" s="2" t="s">
        <v>3</v>
      </c>
      <c r="I1" s="2" t="s">
        <v>4</v>
      </c>
      <c r="J1" s="1"/>
      <c r="L1" s="3" t="s">
        <v>1</v>
      </c>
      <c r="M1" s="3" t="s">
        <v>2</v>
      </c>
    </row>
    <row r="2">
      <c r="A2" s="4">
        <v>46090.0</v>
      </c>
      <c r="B2" s="5">
        <v>5.08</v>
      </c>
      <c r="C2" s="5">
        <v>219.53</v>
      </c>
      <c r="D2" s="4"/>
      <c r="E2" s="6">
        <f t="shared" ref="E2:F2" si="1">(B2-B3)/B3</f>
        <v>0.016</v>
      </c>
      <c r="F2" s="6">
        <f t="shared" si="1"/>
        <v>0.00177968422</v>
      </c>
      <c r="G2" s="7"/>
      <c r="H2" s="8">
        <f t="shared" ref="H2:I2" si="2">B2/B3-1</f>
        <v>0.016</v>
      </c>
      <c r="I2" s="8">
        <f t="shared" si="2"/>
        <v>0.00177968422</v>
      </c>
      <c r="J2" s="7"/>
      <c r="K2" s="9" t="s">
        <v>5</v>
      </c>
      <c r="L2" s="6">
        <f t="shared" ref="L2:M2" si="3">MAX(H:H)</f>
        <v>0.795221843</v>
      </c>
      <c r="M2" s="6">
        <f t="shared" si="3"/>
        <v>0.1364197894</v>
      </c>
    </row>
    <row r="3">
      <c r="A3" s="4">
        <v>46087.0</v>
      </c>
      <c r="B3" s="5">
        <v>5.0</v>
      </c>
      <c r="C3" s="5">
        <v>219.14</v>
      </c>
      <c r="D3" s="4"/>
      <c r="E3" s="6">
        <f t="shared" ref="E3:F3" si="4">(B3-B4)/B4</f>
        <v>-0.03474903475</v>
      </c>
      <c r="F3" s="6">
        <f t="shared" si="4"/>
        <v>-0.01056528806</v>
      </c>
      <c r="G3" s="7"/>
      <c r="H3" s="8">
        <f t="shared" ref="H3:I3" si="5">B3/B4-1</f>
        <v>-0.03474903475</v>
      </c>
      <c r="I3" s="8">
        <f t="shared" si="5"/>
        <v>-0.01056528806</v>
      </c>
      <c r="J3" s="7"/>
      <c r="K3" s="9" t="s">
        <v>6</v>
      </c>
      <c r="L3" s="6">
        <f t="shared" ref="L3:M3" si="6">MIN(H:H)</f>
        <v>-0.246031746</v>
      </c>
      <c r="M3" s="6">
        <f t="shared" si="6"/>
        <v>-0.05616707324</v>
      </c>
    </row>
    <row r="4">
      <c r="A4" s="4">
        <v>46086.0</v>
      </c>
      <c r="B4" s="5">
        <v>5.18</v>
      </c>
      <c r="C4" s="5">
        <v>221.48</v>
      </c>
      <c r="D4" s="4"/>
      <c r="E4" s="6">
        <f t="shared" ref="E4:F4" si="7">(B4-B5)/B5</f>
        <v>0.06147540984</v>
      </c>
      <c r="F4" s="6">
        <f t="shared" si="7"/>
        <v>-0.0486662944</v>
      </c>
      <c r="G4" s="7"/>
      <c r="H4" s="8">
        <f t="shared" ref="H4:I4" si="8">B4/B5-1</f>
        <v>0.06147540984</v>
      </c>
      <c r="I4" s="8">
        <f t="shared" si="8"/>
        <v>-0.0486662944</v>
      </c>
      <c r="J4" s="7"/>
      <c r="K4" s="9" t="s">
        <v>7</v>
      </c>
      <c r="L4" s="6">
        <f t="shared" ref="L4:M4" si="9">L2-L3</f>
        <v>1.041253589</v>
      </c>
      <c r="M4" s="6">
        <f t="shared" si="9"/>
        <v>0.1925868626</v>
      </c>
    </row>
    <row r="5">
      <c r="A5" s="4">
        <v>46085.0</v>
      </c>
      <c r="B5" s="5">
        <v>4.88</v>
      </c>
      <c r="C5" s="5">
        <v>232.81</v>
      </c>
      <c r="D5" s="4"/>
      <c r="E5" s="6">
        <f t="shared" ref="E5:F5" si="10">(B5-B6)/B6</f>
        <v>-0.01810865191</v>
      </c>
      <c r="F5" s="6">
        <f t="shared" si="10"/>
        <v>0.002756600767</v>
      </c>
      <c r="G5" s="7"/>
      <c r="H5" s="8">
        <f t="shared" ref="H5:I5" si="11">B5/B6-1</f>
        <v>-0.01810865191</v>
      </c>
      <c r="I5" s="8">
        <f t="shared" si="11"/>
        <v>0.002756600767</v>
      </c>
      <c r="J5" s="7"/>
      <c r="L5" s="6"/>
      <c r="M5" s="6"/>
    </row>
    <row r="6">
      <c r="A6" s="4">
        <v>46084.0</v>
      </c>
      <c r="B6" s="5">
        <v>4.97</v>
      </c>
      <c r="C6" s="5">
        <v>232.17</v>
      </c>
      <c r="D6" s="4"/>
      <c r="E6" s="6">
        <f t="shared" ref="E6:F6" si="12">(B6-B7)/B7</f>
        <v>-0.01584158416</v>
      </c>
      <c r="F6" s="6">
        <f t="shared" si="12"/>
        <v>-0.04715587294</v>
      </c>
      <c r="G6" s="7"/>
      <c r="H6" s="8">
        <f t="shared" ref="H6:I6" si="13">B6/B7-1</f>
        <v>-0.01584158416</v>
      </c>
      <c r="I6" s="8">
        <f t="shared" si="13"/>
        <v>-0.04715587294</v>
      </c>
      <c r="J6" s="7"/>
      <c r="K6" s="9" t="s">
        <v>8</v>
      </c>
      <c r="L6" s="6">
        <f t="shared" ref="L6:M6" si="14">PERCENTILE(H:H,0.75)</f>
        <v>0.04456317818</v>
      </c>
      <c r="M6" s="6">
        <f t="shared" si="14"/>
        <v>0.01004353579</v>
      </c>
    </row>
    <row r="7">
      <c r="A7" s="4">
        <v>46083.0</v>
      </c>
      <c r="B7" s="5">
        <v>5.05</v>
      </c>
      <c r="C7" s="5">
        <v>243.66</v>
      </c>
      <c r="D7" s="4"/>
      <c r="E7" s="6">
        <f t="shared" ref="E7:F7" si="15">(B7-B8)/B8</f>
        <v>-0.06826568266</v>
      </c>
      <c r="F7" s="6">
        <f t="shared" si="15"/>
        <v>0.005280963776</v>
      </c>
      <c r="G7" s="7"/>
      <c r="H7" s="8">
        <f t="shared" ref="H7:I7" si="16">B7/B8-1</f>
        <v>-0.06826568266</v>
      </c>
      <c r="I7" s="8">
        <f t="shared" si="16"/>
        <v>0.005280963776</v>
      </c>
      <c r="J7" s="7"/>
      <c r="K7" s="9" t="s">
        <v>9</v>
      </c>
      <c r="L7" s="6">
        <f t="shared" ref="L7:M7" si="17">PERCENTILE(H:H,0.25)</f>
        <v>-0.04179050051</v>
      </c>
      <c r="M7" s="6">
        <f t="shared" si="17"/>
        <v>-0.00893230443</v>
      </c>
    </row>
    <row r="8">
      <c r="A8" s="4">
        <v>46080.0</v>
      </c>
      <c r="B8" s="5">
        <v>5.42</v>
      </c>
      <c r="C8" s="5">
        <v>242.38</v>
      </c>
      <c r="D8" s="4"/>
      <c r="E8" s="6">
        <f t="shared" ref="E8:F8" si="18">(B8-B9)/B9</f>
        <v>0.001848428835</v>
      </c>
      <c r="F8" s="6">
        <f t="shared" si="18"/>
        <v>-0.00098920122</v>
      </c>
      <c r="G8" s="7"/>
      <c r="H8" s="8">
        <f t="shared" ref="H8:I8" si="19">B8/B9-1</f>
        <v>0.001848428835</v>
      </c>
      <c r="I8" s="8">
        <f t="shared" si="19"/>
        <v>-0.00098920122</v>
      </c>
      <c r="J8" s="7"/>
      <c r="K8" s="10" t="s">
        <v>10</v>
      </c>
      <c r="L8" s="6">
        <f t="shared" ref="L8:M8" si="20">L6-L7</f>
        <v>0.08635367869</v>
      </c>
      <c r="M8" s="6">
        <f t="shared" si="20"/>
        <v>0.01897584022</v>
      </c>
    </row>
    <row r="9">
      <c r="A9" s="4">
        <v>46079.0</v>
      </c>
      <c r="B9" s="5">
        <v>5.41</v>
      </c>
      <c r="C9" s="5">
        <v>242.62</v>
      </c>
      <c r="D9" s="4"/>
      <c r="E9" s="6">
        <f t="shared" ref="E9:F9" si="21">(B9-B10)/B10</f>
        <v>0.08634538153</v>
      </c>
      <c r="F9" s="6">
        <f t="shared" si="21"/>
        <v>0.003681793737</v>
      </c>
      <c r="G9" s="7"/>
      <c r="H9" s="8">
        <f t="shared" ref="H9:I9" si="22">B9/B10-1</f>
        <v>0.08634538153</v>
      </c>
      <c r="I9" s="8">
        <f t="shared" si="22"/>
        <v>0.003681793737</v>
      </c>
      <c r="J9" s="7"/>
      <c r="K9" s="11"/>
      <c r="L9" s="6"/>
      <c r="M9" s="6"/>
    </row>
    <row r="10">
      <c r="A10" s="4">
        <v>46078.0</v>
      </c>
      <c r="B10" s="5">
        <v>4.98</v>
      </c>
      <c r="C10" s="5">
        <v>241.73</v>
      </c>
      <c r="D10" s="4"/>
      <c r="E10" s="6">
        <f t="shared" ref="E10:F10" si="23">(B10-B11)/B11</f>
        <v>-0.02544031311</v>
      </c>
      <c r="F10" s="6">
        <f t="shared" si="23"/>
        <v>0.01294837412</v>
      </c>
      <c r="G10" s="7"/>
      <c r="H10" s="8">
        <f t="shared" ref="H10:I10" si="24">B10/B11-1</f>
        <v>-0.02544031311</v>
      </c>
      <c r="I10" s="8">
        <f t="shared" si="24"/>
        <v>0.01294837412</v>
      </c>
      <c r="J10" s="7"/>
      <c r="K10" s="12" t="s">
        <v>11</v>
      </c>
      <c r="L10" s="6">
        <f t="shared" ref="L10:M10" si="25">AVERAGE(H:H)</f>
        <v>0.01055327475</v>
      </c>
      <c r="M10" s="6">
        <f t="shared" si="25"/>
        <v>0.0008785959218</v>
      </c>
    </row>
    <row r="11">
      <c r="A11" s="4">
        <v>46077.0</v>
      </c>
      <c r="B11" s="5">
        <v>5.11</v>
      </c>
      <c r="C11" s="5">
        <v>238.64</v>
      </c>
      <c r="D11" s="4"/>
      <c r="E11" s="6">
        <f t="shared" ref="E11:F11" si="26">(B11-B12)/B12</f>
        <v>0.0690376569</v>
      </c>
      <c r="F11" s="6">
        <f t="shared" si="26"/>
        <v>0.00256270218</v>
      </c>
      <c r="G11" s="7"/>
      <c r="H11" s="8">
        <f t="shared" ref="H11:I11" si="27">B11/B12-1</f>
        <v>0.0690376569</v>
      </c>
      <c r="I11" s="8">
        <f t="shared" si="27"/>
        <v>0.00256270218</v>
      </c>
      <c r="J11" s="7"/>
      <c r="K11" s="12" t="s">
        <v>12</v>
      </c>
      <c r="L11" s="6">
        <f t="shared" ref="L11:M11" si="28">AVEDEV(H:H)*251/250</f>
        <v>0.06747279329</v>
      </c>
      <c r="M11" s="6">
        <f t="shared" si="28"/>
        <v>0.01369225478</v>
      </c>
    </row>
    <row r="12">
      <c r="A12" s="4">
        <v>46076.0</v>
      </c>
      <c r="B12" s="5">
        <v>4.78</v>
      </c>
      <c r="C12" s="5">
        <v>238.03</v>
      </c>
      <c r="D12" s="4"/>
      <c r="E12" s="6">
        <f t="shared" ref="E12:F12" si="29">(B12-B13)/B13</f>
        <v>-0.044</v>
      </c>
      <c r="F12" s="6">
        <f t="shared" si="29"/>
        <v>-0.006552587646</v>
      </c>
      <c r="G12" s="7"/>
      <c r="H12" s="8">
        <f t="shared" ref="H12:I12" si="30">B12/B13-1</f>
        <v>-0.044</v>
      </c>
      <c r="I12" s="8">
        <f t="shared" si="30"/>
        <v>-0.006552587646</v>
      </c>
      <c r="J12" s="7"/>
      <c r="K12" s="12" t="s">
        <v>13</v>
      </c>
      <c r="L12" s="6">
        <f t="shared" ref="L12:M12" si="31">_xlfn.VAR.S(H:H)</f>
        <v>0.01093260525</v>
      </c>
      <c r="M12" s="6">
        <f t="shared" si="31"/>
        <v>0.0003831653169</v>
      </c>
    </row>
    <row r="13">
      <c r="A13" s="4">
        <v>46073.0</v>
      </c>
      <c r="B13" s="5">
        <v>5.0</v>
      </c>
      <c r="C13" s="5">
        <v>239.6</v>
      </c>
      <c r="D13" s="4"/>
      <c r="E13" s="6">
        <f t="shared" ref="E13:F13" si="32">(B13-B14)/B14</f>
        <v>0.0752688172</v>
      </c>
      <c r="F13" s="6">
        <f t="shared" si="32"/>
        <v>-0.008483343679</v>
      </c>
      <c r="G13" s="7"/>
      <c r="H13" s="8">
        <f t="shared" ref="H13:I13" si="33">B13/B14-1</f>
        <v>0.0752688172</v>
      </c>
      <c r="I13" s="8">
        <f t="shared" si="33"/>
        <v>-0.008483343679</v>
      </c>
      <c r="J13" s="7"/>
      <c r="K13" s="12" t="s">
        <v>14</v>
      </c>
      <c r="L13" s="6">
        <f t="shared" ref="L13:M13" si="34">_xlfn.STDEV.S(H:H)</f>
        <v>0.1045590993</v>
      </c>
      <c r="M13" s="6">
        <f t="shared" si="34"/>
        <v>0.01957460898</v>
      </c>
    </row>
    <row r="14">
      <c r="A14" s="4">
        <v>46072.0</v>
      </c>
      <c r="B14" s="5">
        <v>4.65</v>
      </c>
      <c r="C14" s="5">
        <v>241.65</v>
      </c>
      <c r="D14" s="4"/>
      <c r="E14" s="6">
        <f t="shared" ref="E14:F14" si="35">(B14-B15)/B15</f>
        <v>0.004319654428</v>
      </c>
      <c r="F14" s="6">
        <f t="shared" si="35"/>
        <v>-0.006373355263</v>
      </c>
      <c r="G14" s="7"/>
      <c r="H14" s="8">
        <f t="shared" ref="H14:I14" si="36">B14/B15-1</f>
        <v>0.004319654428</v>
      </c>
      <c r="I14" s="8">
        <f t="shared" si="36"/>
        <v>-0.006373355263</v>
      </c>
      <c r="J14" s="7"/>
      <c r="L14" s="6"/>
      <c r="M14" s="6"/>
    </row>
    <row r="15">
      <c r="A15" s="4">
        <v>46071.0</v>
      </c>
      <c r="B15" s="5">
        <v>4.63</v>
      </c>
      <c r="C15" s="5">
        <v>243.2</v>
      </c>
      <c r="D15" s="4"/>
      <c r="E15" s="6">
        <f t="shared" ref="E15:F15" si="37">(B15-B16)/B16</f>
        <v>0.06928406467</v>
      </c>
      <c r="F15" s="6">
        <f t="shared" si="37"/>
        <v>-0.009408985377</v>
      </c>
      <c r="G15" s="7"/>
      <c r="H15" s="8">
        <f t="shared" ref="H15:I15" si="38">B15/B16-1</f>
        <v>0.06928406467</v>
      </c>
      <c r="I15" s="8">
        <f t="shared" si="38"/>
        <v>-0.009408985377</v>
      </c>
      <c r="J15" s="7"/>
      <c r="L15" s="6"/>
      <c r="M15" s="6"/>
    </row>
    <row r="16">
      <c r="A16" s="4">
        <v>46070.0</v>
      </c>
      <c r="B16" s="5">
        <v>4.33</v>
      </c>
      <c r="C16" s="5">
        <v>245.51</v>
      </c>
      <c r="D16" s="4"/>
      <c r="E16" s="6">
        <f t="shared" ref="E16:F16" si="39">(B16-B17)/B17</f>
        <v>-0.02696629213</v>
      </c>
      <c r="F16" s="6">
        <f t="shared" si="39"/>
        <v>-0.01119658464</v>
      </c>
      <c r="G16" s="7"/>
      <c r="H16" s="8">
        <f t="shared" ref="H16:I16" si="40">B16/B17-1</f>
        <v>-0.02696629213</v>
      </c>
      <c r="I16" s="8">
        <f t="shared" si="40"/>
        <v>-0.01119658464</v>
      </c>
      <c r="J16" s="7"/>
      <c r="K16" s="5" t="s">
        <v>15</v>
      </c>
      <c r="L16" s="6"/>
      <c r="M16" s="6"/>
    </row>
    <row r="17">
      <c r="A17" s="4">
        <v>46066.0</v>
      </c>
      <c r="B17" s="5">
        <v>4.45</v>
      </c>
      <c r="C17" s="5">
        <v>248.29</v>
      </c>
      <c r="D17" s="4"/>
      <c r="E17" s="6">
        <f t="shared" ref="E17:F17" si="41">(B17-B18)/B18</f>
        <v>0.01598173516</v>
      </c>
      <c r="F17" s="6">
        <f t="shared" si="41"/>
        <v>0.0275202781</v>
      </c>
      <c r="G17" s="7"/>
      <c r="H17" s="8">
        <f t="shared" ref="H17:I17" si="42">B17/B18-1</f>
        <v>0.01598173516</v>
      </c>
      <c r="I17" s="8">
        <f t="shared" si="42"/>
        <v>0.0275202781</v>
      </c>
      <c r="J17" s="7"/>
      <c r="L17" s="6"/>
      <c r="M17" s="6"/>
    </row>
    <row r="18">
      <c r="A18" s="4">
        <v>46065.0</v>
      </c>
      <c r="B18" s="5">
        <v>4.38</v>
      </c>
      <c r="C18" s="5">
        <v>241.64</v>
      </c>
      <c r="D18" s="4"/>
      <c r="E18" s="6">
        <f t="shared" ref="E18:F18" si="43">(B18-B19)/B19</f>
        <v>-0.07983193277</v>
      </c>
      <c r="F18" s="6">
        <f t="shared" si="43"/>
        <v>-0.004818582431</v>
      </c>
      <c r="G18" s="7"/>
      <c r="H18" s="8">
        <f t="shared" ref="H18:I18" si="44">B18/B19-1</f>
        <v>-0.07983193277</v>
      </c>
      <c r="I18" s="8">
        <f t="shared" si="44"/>
        <v>-0.004818582431</v>
      </c>
      <c r="J18" s="7"/>
      <c r="K18" s="5" t="s">
        <v>16</v>
      </c>
      <c r="L18" s="6"/>
      <c r="M18" s="6"/>
    </row>
    <row r="19">
      <c r="A19" s="4">
        <v>46064.0</v>
      </c>
      <c r="B19" s="5">
        <v>4.76</v>
      </c>
      <c r="C19" s="5">
        <v>242.81</v>
      </c>
      <c r="D19" s="4"/>
      <c r="E19" s="6">
        <f t="shared" ref="E19:F19" si="45">(B19-B20)/B20</f>
        <v>0.01492537313</v>
      </c>
      <c r="F19" s="6">
        <f t="shared" si="45"/>
        <v>0.01918233714</v>
      </c>
      <c r="G19" s="7"/>
      <c r="H19" s="8">
        <f t="shared" ref="H19:I19" si="46">B19/B20-1</f>
        <v>0.01492537313</v>
      </c>
      <c r="I19" s="8">
        <f t="shared" si="46"/>
        <v>0.01918233714</v>
      </c>
      <c r="J19" s="7"/>
      <c r="K19" s="5" t="s">
        <v>17</v>
      </c>
      <c r="L19" s="7">
        <v>7.5953672E7</v>
      </c>
      <c r="M19" s="6"/>
    </row>
    <row r="20">
      <c r="A20" s="4">
        <v>46063.0</v>
      </c>
      <c r="B20" s="5">
        <v>4.69</v>
      </c>
      <c r="C20" s="5">
        <v>238.24</v>
      </c>
      <c r="D20" s="4"/>
      <c r="E20" s="6">
        <f t="shared" ref="E20:F20" si="47">(B20-B21)/B21</f>
        <v>-0.05060728745</v>
      </c>
      <c r="F20" s="6">
        <f t="shared" si="47"/>
        <v>-0.01712116837</v>
      </c>
      <c r="G20" s="7"/>
      <c r="H20" s="8">
        <f t="shared" ref="H20:I20" si="48">B20/B21-1</f>
        <v>-0.05060728745</v>
      </c>
      <c r="I20" s="8">
        <f t="shared" si="48"/>
        <v>-0.01712116837</v>
      </c>
      <c r="J20" s="7"/>
      <c r="K20" s="5" t="s">
        <v>18</v>
      </c>
      <c r="L20" s="7">
        <v>576896.0</v>
      </c>
      <c r="M20" s="6"/>
    </row>
    <row r="21">
      <c r="A21" s="4">
        <v>46062.0</v>
      </c>
      <c r="B21" s="5">
        <v>4.94</v>
      </c>
      <c r="C21" s="5">
        <v>242.39</v>
      </c>
      <c r="D21" s="4"/>
      <c r="E21" s="6">
        <f t="shared" ref="E21:F21" si="49">(B21-B22)/B22</f>
        <v>0.01229508197</v>
      </c>
      <c r="F21" s="6">
        <f t="shared" si="49"/>
        <v>-0.007493243797</v>
      </c>
      <c r="G21" s="7"/>
      <c r="H21" s="8">
        <f t="shared" ref="H21:I21" si="50">B21/B22-1</f>
        <v>0.01229508197</v>
      </c>
      <c r="I21" s="8">
        <f t="shared" si="50"/>
        <v>-0.007493243797</v>
      </c>
      <c r="J21" s="7"/>
      <c r="K21" s="5" t="s">
        <v>19</v>
      </c>
      <c r="L21" s="7">
        <v>1759964.0</v>
      </c>
      <c r="M21" s="6"/>
    </row>
    <row r="22">
      <c r="A22" s="4">
        <v>46059.0</v>
      </c>
      <c r="B22" s="5">
        <v>4.88</v>
      </c>
      <c r="C22" s="5">
        <v>244.22</v>
      </c>
      <c r="D22" s="4"/>
      <c r="E22" s="6">
        <f t="shared" ref="E22:F22" si="51">(B22-B23)/B23</f>
        <v>0.03829787234</v>
      </c>
      <c r="F22" s="6">
        <f t="shared" si="51"/>
        <v>0.02963868629</v>
      </c>
      <c r="G22" s="7"/>
      <c r="H22" s="8">
        <f t="shared" ref="H22:I22" si="52">B22/B23-1</f>
        <v>0.03829787234</v>
      </c>
      <c r="I22" s="8">
        <f t="shared" si="52"/>
        <v>0.02963868629</v>
      </c>
      <c r="J22" s="7"/>
      <c r="K22" s="5" t="s">
        <v>20</v>
      </c>
      <c r="L22" s="7">
        <v>1.9559331E7</v>
      </c>
      <c r="M22" s="6"/>
    </row>
    <row r="23">
      <c r="A23" s="4">
        <v>46058.0</v>
      </c>
      <c r="B23" s="5">
        <v>4.7</v>
      </c>
      <c r="C23" s="5">
        <v>237.19</v>
      </c>
      <c r="D23" s="4"/>
      <c r="E23" s="6">
        <f t="shared" ref="E23:F23" si="53">(B23-B24)/B24</f>
        <v>-0.06</v>
      </c>
      <c r="F23" s="6">
        <f t="shared" si="53"/>
        <v>-0.01739922946</v>
      </c>
      <c r="G23" s="7"/>
      <c r="H23" s="8">
        <f t="shared" ref="H23:I23" si="54">B23/B24-1</f>
        <v>-0.06</v>
      </c>
      <c r="I23" s="8">
        <f t="shared" si="54"/>
        <v>-0.01739922946</v>
      </c>
      <c r="J23" s="7"/>
      <c r="K23" s="5" t="s">
        <v>21</v>
      </c>
      <c r="L23" s="5">
        <v>250.0</v>
      </c>
      <c r="M23" s="6"/>
    </row>
    <row r="24">
      <c r="A24" s="4">
        <v>46057.0</v>
      </c>
      <c r="B24" s="5">
        <v>5.0</v>
      </c>
      <c r="C24" s="5">
        <v>241.39</v>
      </c>
      <c r="D24" s="4"/>
      <c r="E24" s="6">
        <f t="shared" ref="E24:F24" si="55">(B24-B25)/B25</f>
        <v>-0.0253411306</v>
      </c>
      <c r="F24" s="6">
        <f t="shared" si="55"/>
        <v>0.04308184254</v>
      </c>
      <c r="G24" s="7"/>
      <c r="H24" s="8">
        <f t="shared" ref="H24:I24" si="56">B24/B25-1</f>
        <v>-0.0253411306</v>
      </c>
      <c r="I24" s="8">
        <f t="shared" si="56"/>
        <v>0.04308184254</v>
      </c>
      <c r="J24" s="7"/>
      <c r="L24" s="6"/>
      <c r="M24" s="6"/>
    </row>
    <row r="25">
      <c r="A25" s="4">
        <v>46056.0</v>
      </c>
      <c r="B25" s="5">
        <v>5.13</v>
      </c>
      <c r="C25" s="5">
        <v>231.42</v>
      </c>
      <c r="D25" s="4"/>
      <c r="E25" s="6">
        <f t="shared" ref="E25:F25" si="57">(B25-B26)/B26</f>
        <v>0.0643153527</v>
      </c>
      <c r="F25" s="6">
        <f t="shared" si="57"/>
        <v>-0.0006909059504</v>
      </c>
      <c r="G25" s="7"/>
      <c r="H25" s="8">
        <f t="shared" ref="H25:I25" si="58">B25/B26-1</f>
        <v>0.0643153527</v>
      </c>
      <c r="I25" s="8">
        <f t="shared" si="58"/>
        <v>-0.0006909059504</v>
      </c>
      <c r="J25" s="7"/>
      <c r="K25" s="5" t="s">
        <v>22</v>
      </c>
      <c r="L25" s="6"/>
      <c r="M25" s="6"/>
    </row>
    <row r="26">
      <c r="A26" s="4">
        <v>46055.0</v>
      </c>
      <c r="B26" s="5">
        <v>4.82</v>
      </c>
      <c r="C26" s="5">
        <v>231.58</v>
      </c>
      <c r="D26" s="4"/>
      <c r="E26" s="6">
        <f t="shared" ref="E26:F26" si="59">(B26-B27)/B27</f>
        <v>-0.0640776699</v>
      </c>
      <c r="F26" s="6">
        <f t="shared" si="59"/>
        <v>0.0208057833</v>
      </c>
      <c r="G26" s="7"/>
      <c r="H26" s="8">
        <f t="shared" ref="H26:I26" si="60">B26/B27-1</f>
        <v>-0.0640776699</v>
      </c>
      <c r="I26" s="8">
        <f t="shared" si="60"/>
        <v>0.0208057833</v>
      </c>
      <c r="J26" s="7"/>
      <c r="L26" s="5" t="s">
        <v>23</v>
      </c>
      <c r="M26" s="5" t="s">
        <v>24</v>
      </c>
      <c r="N26" s="5" t="s">
        <v>25</v>
      </c>
      <c r="O26" s="5" t="s">
        <v>26</v>
      </c>
      <c r="P26" s="5" t="s">
        <v>27</v>
      </c>
    </row>
    <row r="27">
      <c r="A27" s="4">
        <v>46052.0</v>
      </c>
      <c r="B27" s="5">
        <v>5.15</v>
      </c>
      <c r="C27" s="5">
        <v>226.86</v>
      </c>
      <c r="D27" s="4"/>
      <c r="E27" s="6">
        <f t="shared" ref="E27:F27" si="61">(B27-B28)/B28</f>
        <v>-0.0770609319</v>
      </c>
      <c r="F27" s="6">
        <f t="shared" si="61"/>
        <v>-0.0009248249438</v>
      </c>
      <c r="G27" s="7"/>
      <c r="H27" s="8">
        <f t="shared" ref="H27:I27" si="62">B27/B28-1</f>
        <v>-0.0770609319</v>
      </c>
      <c r="I27" s="8">
        <f t="shared" si="62"/>
        <v>-0.0009248249438</v>
      </c>
      <c r="J27" s="7"/>
      <c r="K27" s="5" t="s">
        <v>28</v>
      </c>
      <c r="L27" s="5">
        <v>1.0</v>
      </c>
      <c r="M27" s="7">
        <v>550516.0</v>
      </c>
      <c r="N27" s="7">
        <v>550516.0</v>
      </c>
      <c r="O27" s="7">
        <v>1.439003706E9</v>
      </c>
      <c r="P27" s="7">
        <v>2.31445417E8</v>
      </c>
    </row>
    <row r="28">
      <c r="A28" s="4">
        <v>46051.0</v>
      </c>
      <c r="B28" s="5">
        <v>5.58</v>
      </c>
      <c r="C28" s="5">
        <v>227.07</v>
      </c>
      <c r="D28" s="4"/>
      <c r="E28" s="6">
        <f t="shared" ref="E28:F28" si="63">(B28-B29)/B29</f>
        <v>-0.03125</v>
      </c>
      <c r="F28" s="6">
        <f t="shared" si="63"/>
        <v>0.03737036868</v>
      </c>
      <c r="G28" s="7"/>
      <c r="H28" s="8">
        <f t="shared" ref="H28:I28" si="64">B28/B29-1</f>
        <v>-0.03125</v>
      </c>
      <c r="I28" s="8">
        <f t="shared" si="64"/>
        <v>0.03737036868</v>
      </c>
      <c r="J28" s="7"/>
      <c r="K28" s="5" t="s">
        <v>29</v>
      </c>
      <c r="L28" s="5">
        <v>248.0</v>
      </c>
      <c r="M28" s="7">
        <v>9487672.0</v>
      </c>
      <c r="N28" s="7">
        <v>382567.0</v>
      </c>
    </row>
    <row r="29">
      <c r="A29" s="4">
        <v>46050.0</v>
      </c>
      <c r="B29" s="5">
        <v>5.76</v>
      </c>
      <c r="C29" s="5">
        <v>218.89</v>
      </c>
      <c r="D29" s="4"/>
      <c r="E29" s="6">
        <f t="shared" ref="E29:F29" si="65">(B29-B30)/B30</f>
        <v>-0.008605851979</v>
      </c>
      <c r="F29" s="6">
        <f t="shared" si="65"/>
        <v>-0.02333571301</v>
      </c>
      <c r="G29" s="7"/>
      <c r="H29" s="8">
        <f t="shared" ref="H29:I29" si="66">B29/B30-1</f>
        <v>-0.008605851979</v>
      </c>
      <c r="I29" s="8">
        <f t="shared" si="66"/>
        <v>-0.02333571301</v>
      </c>
      <c r="J29" s="7"/>
      <c r="K29" s="5" t="s">
        <v>30</v>
      </c>
      <c r="L29" s="5">
        <v>249.0</v>
      </c>
      <c r="M29" s="7">
        <v>9.5427236E7</v>
      </c>
    </row>
    <row r="30">
      <c r="A30" s="4">
        <v>46049.0</v>
      </c>
      <c r="B30" s="5">
        <v>5.81</v>
      </c>
      <c r="C30" s="5">
        <v>224.12</v>
      </c>
      <c r="D30" s="4"/>
      <c r="E30" s="6">
        <f t="shared" ref="E30:F30" si="67">(B30-B31)/B31</f>
        <v>-0.01022146508</v>
      </c>
      <c r="F30" s="6">
        <f t="shared" si="67"/>
        <v>-0.006648346778</v>
      </c>
      <c r="G30" s="7"/>
      <c r="H30" s="8">
        <f t="shared" ref="H30:I30" si="68">B30/B31-1</f>
        <v>-0.01022146508</v>
      </c>
      <c r="I30" s="8">
        <f t="shared" si="68"/>
        <v>-0.006648346778</v>
      </c>
      <c r="J30" s="7"/>
      <c r="L30" s="6"/>
      <c r="M30" s="6"/>
    </row>
    <row r="31">
      <c r="A31" s="4">
        <v>46048.0</v>
      </c>
      <c r="B31" s="5">
        <v>5.87</v>
      </c>
      <c r="C31" s="5">
        <v>225.62</v>
      </c>
      <c r="D31" s="4"/>
      <c r="E31" s="6">
        <f t="shared" ref="E31:F31" si="69">(B31-B32)/B32</f>
        <v>-0.02329450915</v>
      </c>
      <c r="F31" s="6">
        <f t="shared" si="69"/>
        <v>-0.002916740322</v>
      </c>
      <c r="G31" s="7"/>
      <c r="H31" s="8">
        <f t="shared" ref="H31:I31" si="70">B31/B32-1</f>
        <v>-0.02329450915</v>
      </c>
      <c r="I31" s="8">
        <f t="shared" si="70"/>
        <v>-0.002916740322</v>
      </c>
      <c r="J31" s="7"/>
      <c r="L31" s="5" t="s">
        <v>31</v>
      </c>
      <c r="M31" s="5" t="s">
        <v>20</v>
      </c>
      <c r="N31" s="5" t="s">
        <v>32</v>
      </c>
      <c r="O31" s="5" t="s">
        <v>33</v>
      </c>
      <c r="P31" s="5" t="s">
        <v>34</v>
      </c>
      <c r="Q31" s="5" t="s">
        <v>35</v>
      </c>
      <c r="R31" s="5" t="s">
        <v>36</v>
      </c>
      <c r="S31" s="5" t="s">
        <v>37</v>
      </c>
    </row>
    <row r="32">
      <c r="A32" s="4">
        <v>46045.0</v>
      </c>
      <c r="B32" s="5">
        <v>6.01</v>
      </c>
      <c r="C32" s="5">
        <v>226.28</v>
      </c>
      <c r="D32" s="4"/>
      <c r="E32" s="6">
        <f t="shared" ref="E32:F32" si="71">(B32-B33)/B33</f>
        <v>-0.06386292835</v>
      </c>
      <c r="F32" s="6">
        <f t="shared" si="71"/>
        <v>-0.003347427766</v>
      </c>
      <c r="G32" s="7"/>
      <c r="H32" s="8">
        <f t="shared" ref="H32:I32" si="72">B32/B33-1</f>
        <v>-0.06386292835</v>
      </c>
      <c r="I32" s="8">
        <f t="shared" si="72"/>
        <v>-0.003347427766</v>
      </c>
      <c r="J32" s="7"/>
      <c r="K32" s="5" t="s">
        <v>38</v>
      </c>
      <c r="L32" s="7">
        <v>76587.0</v>
      </c>
      <c r="M32" s="7">
        <v>1243355.0</v>
      </c>
      <c r="N32" s="7">
        <v>6.15970302E8</v>
      </c>
      <c r="O32" s="7">
        <v>5.38479044E8</v>
      </c>
      <c r="P32" s="7">
        <v>-1683013.0</v>
      </c>
      <c r="Q32" s="7">
        <v>3214752.0</v>
      </c>
      <c r="R32" s="7">
        <v>-1683013.0</v>
      </c>
      <c r="S32" s="7">
        <v>3214752.0</v>
      </c>
    </row>
    <row r="33">
      <c r="A33" s="4">
        <v>46044.0</v>
      </c>
      <c r="B33" s="5">
        <v>6.42</v>
      </c>
      <c r="C33" s="5">
        <v>227.04</v>
      </c>
      <c r="D33" s="4"/>
      <c r="E33" s="6">
        <f t="shared" ref="E33:F33" si="73">(B33-B34)/B34</f>
        <v>-0.009259259259</v>
      </c>
      <c r="F33" s="6">
        <f t="shared" si="73"/>
        <v>-0.003073680513</v>
      </c>
      <c r="G33" s="7"/>
      <c r="H33" s="8">
        <f t="shared" ref="H33:I33" si="74">B33/B34-1</f>
        <v>-0.009259259259</v>
      </c>
      <c r="I33" s="8">
        <f t="shared" si="74"/>
        <v>-0.003073680513</v>
      </c>
      <c r="J33" s="7"/>
      <c r="K33" s="5" t="s">
        <v>3</v>
      </c>
      <c r="L33" s="7">
        <v>1.4216857E7</v>
      </c>
      <c r="M33" s="7">
        <v>1.1851481E7</v>
      </c>
      <c r="N33" s="7">
        <v>1.199584806E9</v>
      </c>
      <c r="O33" s="7">
        <v>2.31445417E8</v>
      </c>
      <c r="P33" s="7">
        <v>-9125532.0</v>
      </c>
      <c r="Q33" s="7">
        <v>3.7559246E7</v>
      </c>
      <c r="R33" s="7">
        <v>-9125532.0</v>
      </c>
      <c r="S33" s="7">
        <v>3.7559246E7</v>
      </c>
    </row>
    <row r="34">
      <c r="A34" s="4">
        <v>46043.0</v>
      </c>
      <c r="B34" s="5">
        <v>6.48</v>
      </c>
      <c r="C34" s="5">
        <v>227.74</v>
      </c>
      <c r="D34" s="4"/>
      <c r="E34" s="6">
        <f t="shared" ref="E34:F34" si="75">(B34-B35)/B35</f>
        <v>0.01408450704</v>
      </c>
      <c r="F34" s="6">
        <f t="shared" si="75"/>
        <v>0.03297500794</v>
      </c>
      <c r="G34" s="7"/>
      <c r="H34" s="8">
        <f t="shared" ref="H34:I34" si="76">B34/B35-1</f>
        <v>0.01408450704</v>
      </c>
      <c r="I34" s="8">
        <f t="shared" si="76"/>
        <v>0.03297500794</v>
      </c>
      <c r="J34" s="7"/>
      <c r="L34" s="6"/>
      <c r="M34" s="6"/>
    </row>
    <row r="35">
      <c r="A35" s="4">
        <v>46042.0</v>
      </c>
      <c r="B35" s="5">
        <v>6.39</v>
      </c>
      <c r="C35" s="5">
        <v>220.47</v>
      </c>
      <c r="D35" s="4"/>
      <c r="E35" s="6">
        <f t="shared" ref="E35:F35" si="77">(B35-B36)/B36</f>
        <v>-0.04197901049</v>
      </c>
      <c r="F35" s="6">
        <f t="shared" si="77"/>
        <v>-0.04731656728</v>
      </c>
      <c r="G35" s="7"/>
      <c r="H35" s="8">
        <f t="shared" ref="H35:I35" si="78">B35/B36-1</f>
        <v>-0.04197901049</v>
      </c>
      <c r="I35" s="8">
        <f t="shared" si="78"/>
        <v>-0.04731656728</v>
      </c>
      <c r="J35" s="7"/>
      <c r="L35" s="6"/>
      <c r="M35" s="6"/>
    </row>
    <row r="36">
      <c r="A36" s="4">
        <v>46038.0</v>
      </c>
      <c r="B36" s="5">
        <v>6.67</v>
      </c>
      <c r="C36" s="5">
        <v>231.42</v>
      </c>
      <c r="D36" s="4"/>
      <c r="E36" s="6">
        <f t="shared" ref="E36:F36" si="79">(B36-B37)/B37</f>
        <v>0.05873015873</v>
      </c>
      <c r="F36" s="6">
        <f t="shared" si="79"/>
        <v>-0.003916842422</v>
      </c>
      <c r="G36" s="7"/>
      <c r="H36" s="8">
        <f t="shared" ref="H36:I36" si="80">B36/B37-1</f>
        <v>0.05873015873</v>
      </c>
      <c r="I36" s="8">
        <f t="shared" si="80"/>
        <v>-0.003916842422</v>
      </c>
      <c r="J36" s="7"/>
      <c r="L36" s="6"/>
      <c r="M36" s="6"/>
    </row>
    <row r="37">
      <c r="A37" s="4">
        <v>46037.0</v>
      </c>
      <c r="B37" s="5">
        <v>6.3</v>
      </c>
      <c r="C37" s="5">
        <v>232.33</v>
      </c>
      <c r="D37" s="4"/>
      <c r="E37" s="6">
        <f t="shared" ref="E37:F37" si="81">(B37-B38)/B38</f>
        <v>-0.05120481928</v>
      </c>
      <c r="F37" s="6">
        <f t="shared" si="81"/>
        <v>0.02212934448</v>
      </c>
      <c r="G37" s="7"/>
      <c r="H37" s="8">
        <f t="shared" ref="H37:I37" si="82">B37/B38-1</f>
        <v>-0.05120481928</v>
      </c>
      <c r="I37" s="8">
        <f t="shared" si="82"/>
        <v>0.02212934448</v>
      </c>
      <c r="J37" s="7"/>
      <c r="L37" s="6"/>
      <c r="M37" s="6"/>
    </row>
    <row r="38">
      <c r="A38" s="4">
        <v>46036.0</v>
      </c>
      <c r="B38" s="5">
        <v>6.64</v>
      </c>
      <c r="C38" s="5">
        <v>227.3</v>
      </c>
      <c r="D38" s="4"/>
      <c r="E38" s="6">
        <f t="shared" ref="E38:F38" si="83">(B38-B39)/B39</f>
        <v>-0.01920236337</v>
      </c>
      <c r="F38" s="6">
        <f t="shared" si="83"/>
        <v>-0.007553595599</v>
      </c>
      <c r="G38" s="7"/>
      <c r="H38" s="8">
        <f t="shared" ref="H38:I38" si="84">B38/B39-1</f>
        <v>-0.01920236337</v>
      </c>
      <c r="I38" s="8">
        <f t="shared" si="84"/>
        <v>-0.007553595599</v>
      </c>
      <c r="J38" s="7"/>
      <c r="L38" s="6"/>
      <c r="M38" s="6"/>
    </row>
    <row r="39">
      <c r="A39" s="4">
        <v>46035.0</v>
      </c>
      <c r="B39" s="5">
        <v>6.77</v>
      </c>
      <c r="C39" s="5">
        <v>229.03</v>
      </c>
      <c r="D39" s="4"/>
      <c r="E39" s="6">
        <f t="shared" ref="E39:F39" si="85">(B39-B40)/B40</f>
        <v>-0.03561253561</v>
      </c>
      <c r="F39" s="6">
        <f t="shared" si="85"/>
        <v>0.02893211735</v>
      </c>
      <c r="G39" s="7"/>
      <c r="H39" s="8">
        <f t="shared" ref="H39:I39" si="86">B39/B40-1</f>
        <v>-0.03561253561</v>
      </c>
      <c r="I39" s="8">
        <f t="shared" si="86"/>
        <v>0.02893211735</v>
      </c>
      <c r="J39" s="7"/>
      <c r="L39" s="6"/>
      <c r="M39" s="6"/>
    </row>
    <row r="40">
      <c r="A40" s="4">
        <v>46034.0</v>
      </c>
      <c r="B40" s="5">
        <v>7.02</v>
      </c>
      <c r="C40" s="5">
        <v>222.59</v>
      </c>
      <c r="D40" s="4"/>
      <c r="E40" s="6">
        <f t="shared" ref="E40:F40" si="87">(B40-B41)/B41</f>
        <v>-0.03703703704</v>
      </c>
      <c r="F40" s="6">
        <f t="shared" si="87"/>
        <v>0.004830263633</v>
      </c>
      <c r="G40" s="7"/>
      <c r="H40" s="8">
        <f t="shared" ref="H40:I40" si="88">B40/B41-1</f>
        <v>-0.03703703704</v>
      </c>
      <c r="I40" s="8">
        <f t="shared" si="88"/>
        <v>0.004830263633</v>
      </c>
      <c r="J40" s="7"/>
      <c r="L40" s="6"/>
      <c r="M40" s="6"/>
    </row>
    <row r="41">
      <c r="A41" s="4">
        <v>46031.0</v>
      </c>
      <c r="B41" s="5">
        <v>7.29</v>
      </c>
      <c r="C41" s="5">
        <v>221.52</v>
      </c>
      <c r="D41" s="4"/>
      <c r="E41" s="6">
        <f t="shared" ref="E41:F41" si="89">(B41-B42)/B42</f>
        <v>0.133748056</v>
      </c>
      <c r="F41" s="6">
        <f t="shared" si="89"/>
        <v>0.03162110557</v>
      </c>
      <c r="G41" s="7"/>
      <c r="H41" s="8">
        <f t="shared" ref="H41:I41" si="90">B41/B42-1</f>
        <v>0.133748056</v>
      </c>
      <c r="I41" s="8">
        <f t="shared" si="90"/>
        <v>0.03162110557</v>
      </c>
      <c r="J41" s="7"/>
      <c r="L41" s="6"/>
      <c r="M41" s="6"/>
    </row>
    <row r="42">
      <c r="A42" s="4">
        <v>46030.0</v>
      </c>
      <c r="B42" s="5">
        <v>6.43</v>
      </c>
      <c r="C42" s="5">
        <v>214.73</v>
      </c>
      <c r="D42" s="4"/>
      <c r="E42" s="6">
        <f t="shared" ref="E42:F42" si="91">(B42-B43)/B43</f>
        <v>0.05065359477</v>
      </c>
      <c r="F42" s="6">
        <f t="shared" si="91"/>
        <v>0.006562602541</v>
      </c>
      <c r="G42" s="7"/>
      <c r="H42" s="8">
        <f t="shared" ref="H42:I42" si="92">B42/B43-1</f>
        <v>0.05065359477</v>
      </c>
      <c r="I42" s="8">
        <f t="shared" si="92"/>
        <v>0.006562602541</v>
      </c>
      <c r="J42" s="7"/>
      <c r="L42" s="6"/>
      <c r="M42" s="6"/>
    </row>
    <row r="43">
      <c r="A43" s="4">
        <v>46029.0</v>
      </c>
      <c r="B43" s="5">
        <v>6.12</v>
      </c>
      <c r="C43" s="5">
        <v>213.33</v>
      </c>
      <c r="D43" s="4"/>
      <c r="E43" s="6">
        <f t="shared" ref="E43:F43" si="93">(B43-B44)/B44</f>
        <v>-0.1168831169</v>
      </c>
      <c r="F43" s="6">
        <f t="shared" si="93"/>
        <v>-0.009011938496</v>
      </c>
      <c r="G43" s="7"/>
      <c r="H43" s="8">
        <f t="shared" ref="H43:I43" si="94">B43/B44-1</f>
        <v>-0.1168831169</v>
      </c>
      <c r="I43" s="8">
        <f t="shared" si="94"/>
        <v>-0.009011938496</v>
      </c>
      <c r="J43" s="7"/>
      <c r="L43" s="6"/>
      <c r="M43" s="6"/>
    </row>
    <row r="44">
      <c r="A44" s="4">
        <v>46028.0</v>
      </c>
      <c r="B44" s="5">
        <v>6.93</v>
      </c>
      <c r="C44" s="5">
        <v>215.27</v>
      </c>
      <c r="D44" s="4"/>
      <c r="E44" s="6">
        <f t="shared" ref="E44:F44" si="95">(B44-B45)/B45</f>
        <v>0.09651898734</v>
      </c>
      <c r="F44" s="6">
        <f t="shared" si="95"/>
        <v>-0.01640318012</v>
      </c>
      <c r="G44" s="7"/>
      <c r="H44" s="8">
        <f t="shared" ref="H44:I44" si="96">B44/B45-1</f>
        <v>0.09651898734</v>
      </c>
      <c r="I44" s="8">
        <f t="shared" si="96"/>
        <v>-0.01640318012</v>
      </c>
      <c r="J44" s="7"/>
      <c r="L44" s="6"/>
      <c r="M44" s="6"/>
    </row>
    <row r="45">
      <c r="A45" s="4">
        <v>46027.0</v>
      </c>
      <c r="B45" s="5">
        <v>6.32</v>
      </c>
      <c r="C45" s="5">
        <v>218.86</v>
      </c>
      <c r="D45" s="4"/>
      <c r="E45" s="6">
        <f t="shared" ref="E45:F45" si="97">(B45-B46)/B46</f>
        <v>0.04118616145</v>
      </c>
      <c r="F45" s="6">
        <f t="shared" si="97"/>
        <v>0.004543994125</v>
      </c>
      <c r="G45" s="7"/>
      <c r="H45" s="8">
        <f t="shared" ref="H45:I45" si="98">B45/B46-1</f>
        <v>0.04118616145</v>
      </c>
      <c r="I45" s="8">
        <f t="shared" si="98"/>
        <v>0.004543994125</v>
      </c>
      <c r="J45" s="7"/>
      <c r="L45" s="6"/>
      <c r="M45" s="6"/>
    </row>
    <row r="46">
      <c r="A46" s="4">
        <v>46024.0</v>
      </c>
      <c r="B46" s="5">
        <v>6.07</v>
      </c>
      <c r="C46" s="5">
        <v>217.87</v>
      </c>
      <c r="D46" s="4"/>
      <c r="E46" s="6">
        <f t="shared" ref="E46:F46" si="99">(B46-B47)/B47</f>
        <v>0.04116638079</v>
      </c>
      <c r="F46" s="6">
        <f t="shared" si="99"/>
        <v>0.01779874801</v>
      </c>
      <c r="G46" s="7"/>
      <c r="H46" s="8">
        <f t="shared" ref="H46:I46" si="100">B46/B47-1</f>
        <v>0.04116638079</v>
      </c>
      <c r="I46" s="8">
        <f t="shared" si="100"/>
        <v>0.01779874801</v>
      </c>
      <c r="J46" s="7"/>
      <c r="L46" s="6"/>
      <c r="M46" s="6"/>
    </row>
    <row r="47">
      <c r="A47" s="4">
        <v>46022.0</v>
      </c>
      <c r="B47" s="5">
        <v>5.83</v>
      </c>
      <c r="C47" s="5">
        <v>214.06</v>
      </c>
      <c r="D47" s="4"/>
      <c r="E47" s="6">
        <f t="shared" ref="E47:F47" si="101">(B47-B48)/B48</f>
        <v>-0.001712328767</v>
      </c>
      <c r="F47" s="6">
        <f t="shared" si="101"/>
        <v>-0.003676983942</v>
      </c>
      <c r="G47" s="7"/>
      <c r="H47" s="8">
        <f t="shared" ref="H47:I47" si="102">B47/B48-1</f>
        <v>-0.001712328767</v>
      </c>
      <c r="I47" s="8">
        <f t="shared" si="102"/>
        <v>-0.003676983942</v>
      </c>
      <c r="J47" s="7"/>
      <c r="L47" s="6"/>
      <c r="M47" s="6"/>
    </row>
    <row r="48">
      <c r="A48" s="4">
        <v>46021.0</v>
      </c>
      <c r="B48" s="5">
        <v>5.84</v>
      </c>
      <c r="C48" s="5">
        <v>214.85</v>
      </c>
      <c r="D48" s="4"/>
      <c r="E48" s="6">
        <f t="shared" ref="E48:F48" si="103">(B48-B49)/B49</f>
        <v>0.001715265866</v>
      </c>
      <c r="F48" s="6">
        <f t="shared" si="103"/>
        <v>-0.007346146738</v>
      </c>
      <c r="G48" s="7"/>
      <c r="H48" s="8">
        <f t="shared" ref="H48:I48" si="104">B48/B49-1</f>
        <v>0.001715265866</v>
      </c>
      <c r="I48" s="8">
        <f t="shared" si="104"/>
        <v>-0.007346146738</v>
      </c>
      <c r="J48" s="7"/>
      <c r="L48" s="6"/>
      <c r="M48" s="6"/>
    </row>
    <row r="49">
      <c r="A49" s="4">
        <v>46020.0</v>
      </c>
      <c r="B49" s="5">
        <v>5.83</v>
      </c>
      <c r="C49" s="5">
        <v>216.44</v>
      </c>
      <c r="D49" s="4"/>
      <c r="E49" s="6">
        <f t="shared" ref="E49:F49" si="105">(B49-B50)/B50</f>
        <v>-0.02995008319</v>
      </c>
      <c r="F49" s="6">
        <f t="shared" si="105"/>
        <v>-0.0008309482042</v>
      </c>
      <c r="G49" s="7"/>
      <c r="H49" s="8">
        <f t="shared" ref="H49:I49" si="106">B49/B50-1</f>
        <v>-0.02995008319</v>
      </c>
      <c r="I49" s="8">
        <f t="shared" si="106"/>
        <v>-0.0008309482042</v>
      </c>
      <c r="J49" s="7"/>
      <c r="L49" s="6"/>
      <c r="M49" s="6"/>
    </row>
    <row r="50">
      <c r="A50" s="4">
        <v>46017.0</v>
      </c>
      <c r="B50" s="5">
        <v>6.01</v>
      </c>
      <c r="C50" s="5">
        <v>216.62</v>
      </c>
      <c r="D50" s="4"/>
      <c r="E50" s="6">
        <f t="shared" ref="E50:F50" si="107">(B50-B51)/B51</f>
        <v>-0.04299363057</v>
      </c>
      <c r="F50" s="6">
        <f t="shared" si="107"/>
        <v>-0.0005075439487</v>
      </c>
      <c r="G50" s="7"/>
      <c r="H50" s="8">
        <f t="shared" ref="H50:I50" si="108">B50/B51-1</f>
        <v>-0.04299363057</v>
      </c>
      <c r="I50" s="8">
        <f t="shared" si="108"/>
        <v>-0.0005075439487</v>
      </c>
      <c r="J50" s="7"/>
      <c r="L50" s="6"/>
      <c r="M50" s="6"/>
    </row>
    <row r="51">
      <c r="A51" s="4">
        <v>46015.0</v>
      </c>
      <c r="B51" s="5">
        <v>6.28</v>
      </c>
      <c r="C51" s="5">
        <v>216.73</v>
      </c>
      <c r="D51" s="4"/>
      <c r="E51" s="6">
        <f t="shared" ref="E51:F51" si="109">(B51-B52)/B52</f>
        <v>0.001594896332</v>
      </c>
      <c r="F51" s="6">
        <f t="shared" si="109"/>
        <v>-0.01144864076</v>
      </c>
      <c r="G51" s="7"/>
      <c r="H51" s="8">
        <f t="shared" ref="H51:I51" si="110">B51/B52-1</f>
        <v>0.001594896332</v>
      </c>
      <c r="I51" s="8">
        <f t="shared" si="110"/>
        <v>-0.01144864076</v>
      </c>
      <c r="J51" s="7"/>
      <c r="L51" s="6"/>
      <c r="M51" s="6"/>
    </row>
    <row r="52">
      <c r="A52" s="4">
        <v>46014.0</v>
      </c>
      <c r="B52" s="5">
        <v>6.27</v>
      </c>
      <c r="C52" s="5">
        <v>219.24</v>
      </c>
      <c r="D52" s="4"/>
      <c r="E52" s="6">
        <f t="shared" ref="E52:F52" si="111">(B52-B53)/B53</f>
        <v>-0.02336448598</v>
      </c>
      <c r="F52" s="6">
        <f t="shared" si="111"/>
        <v>-0.0012300123</v>
      </c>
      <c r="G52" s="7"/>
      <c r="H52" s="8">
        <f t="shared" ref="H52:I52" si="112">B52/B53-1</f>
        <v>-0.02336448598</v>
      </c>
      <c r="I52" s="8">
        <f t="shared" si="112"/>
        <v>-0.0012300123</v>
      </c>
      <c r="J52" s="7"/>
      <c r="L52" s="6"/>
      <c r="M52" s="6"/>
    </row>
    <row r="53">
      <c r="A53" s="4">
        <v>46013.0</v>
      </c>
      <c r="B53" s="5">
        <v>6.42</v>
      </c>
      <c r="C53" s="5">
        <v>219.51</v>
      </c>
      <c r="D53" s="4"/>
      <c r="E53" s="6">
        <f t="shared" ref="E53:F53" si="113">(B53-B54)/B54</f>
        <v>0.009433962264</v>
      </c>
      <c r="F53" s="6">
        <f t="shared" si="113"/>
        <v>0.0005925790865</v>
      </c>
      <c r="G53" s="7"/>
      <c r="H53" s="8">
        <f t="shared" ref="H53:I53" si="114">B53/B54-1</f>
        <v>0.009433962264</v>
      </c>
      <c r="I53" s="8">
        <f t="shared" si="114"/>
        <v>0.0005925790865</v>
      </c>
      <c r="J53" s="7"/>
      <c r="L53" s="6"/>
      <c r="M53" s="6"/>
    </row>
    <row r="54">
      <c r="A54" s="4">
        <v>46010.0</v>
      </c>
      <c r="B54" s="5">
        <v>6.36</v>
      </c>
      <c r="C54" s="5">
        <v>219.38</v>
      </c>
      <c r="D54" s="4"/>
      <c r="E54" s="6">
        <f t="shared" ref="E54:F54" si="115">(B54-B55)/B55</f>
        <v>0.0127388535</v>
      </c>
      <c r="F54" s="6">
        <f t="shared" si="115"/>
        <v>0.01527212144</v>
      </c>
      <c r="G54" s="7"/>
      <c r="H54" s="8">
        <f t="shared" ref="H54:I54" si="116">B54/B55-1</f>
        <v>0.0127388535</v>
      </c>
      <c r="I54" s="8">
        <f t="shared" si="116"/>
        <v>0.01527212144</v>
      </c>
      <c r="J54" s="7"/>
      <c r="L54" s="6"/>
      <c r="M54" s="6"/>
    </row>
    <row r="55">
      <c r="A55" s="4">
        <v>46009.0</v>
      </c>
      <c r="B55" s="5">
        <v>6.28</v>
      </c>
      <c r="C55" s="5">
        <v>216.08</v>
      </c>
      <c r="D55" s="4"/>
      <c r="E55" s="6">
        <f t="shared" ref="E55:F55" si="117">(B55-B56)/B56</f>
        <v>0.02614379085</v>
      </c>
      <c r="F55" s="6">
        <f t="shared" si="117"/>
        <v>0.00858849888</v>
      </c>
      <c r="G55" s="7"/>
      <c r="H55" s="8">
        <f t="shared" ref="H55:I55" si="118">B55/B56-1</f>
        <v>0.02614379085</v>
      </c>
      <c r="I55" s="8">
        <f t="shared" si="118"/>
        <v>0.00858849888</v>
      </c>
      <c r="J55" s="7"/>
      <c r="L55" s="6"/>
      <c r="M55" s="6"/>
    </row>
    <row r="56">
      <c r="A56" s="4">
        <v>46008.0</v>
      </c>
      <c r="B56" s="5">
        <v>6.12</v>
      </c>
      <c r="C56" s="5">
        <v>214.24</v>
      </c>
      <c r="D56" s="4"/>
      <c r="E56" s="6">
        <f t="shared" ref="E56:F56" si="119">(B56-B57)/B57</f>
        <v>-0.09063893016</v>
      </c>
      <c r="F56" s="6">
        <f t="shared" si="119"/>
        <v>-0.0008394739297</v>
      </c>
      <c r="G56" s="7"/>
      <c r="H56" s="8">
        <f t="shared" ref="H56:I56" si="120">B56/B57-1</f>
        <v>-0.09063893016</v>
      </c>
      <c r="I56" s="8">
        <f t="shared" si="120"/>
        <v>-0.0008394739297</v>
      </c>
      <c r="J56" s="7"/>
      <c r="L56" s="6"/>
      <c r="M56" s="6"/>
    </row>
    <row r="57">
      <c r="A57" s="4">
        <v>46007.0</v>
      </c>
      <c r="B57" s="5">
        <v>6.73</v>
      </c>
      <c r="C57" s="5">
        <v>214.42</v>
      </c>
      <c r="D57" s="4"/>
      <c r="E57" s="6">
        <f t="shared" ref="E57:F57" si="121">(B57-B58)/B58</f>
        <v>0.04018547141</v>
      </c>
      <c r="F57" s="6">
        <f t="shared" si="121"/>
        <v>-0.001815557935</v>
      </c>
      <c r="G57" s="7"/>
      <c r="H57" s="8">
        <f t="shared" ref="H57:I57" si="122">B57/B58-1</f>
        <v>0.04018547141</v>
      </c>
      <c r="I57" s="8">
        <f t="shared" si="122"/>
        <v>-0.001815557935</v>
      </c>
      <c r="J57" s="7"/>
      <c r="L57" s="6"/>
      <c r="M57" s="6"/>
    </row>
    <row r="58">
      <c r="A58" s="4">
        <v>46006.0</v>
      </c>
      <c r="B58" s="5">
        <v>6.47</v>
      </c>
      <c r="C58" s="5">
        <v>214.81</v>
      </c>
      <c r="D58" s="4"/>
      <c r="E58" s="6">
        <f t="shared" ref="E58:F58" si="123">(B58-B59)/B59</f>
        <v>-0.0137195122</v>
      </c>
      <c r="F58" s="6">
        <f t="shared" si="123"/>
        <v>0.03214491639</v>
      </c>
      <c r="G58" s="7"/>
      <c r="H58" s="8">
        <f t="shared" ref="H58:I58" si="124">B58/B59-1</f>
        <v>-0.0137195122</v>
      </c>
      <c r="I58" s="8">
        <f t="shared" si="124"/>
        <v>0.03214491639</v>
      </c>
      <c r="J58" s="7"/>
      <c r="L58" s="6"/>
      <c r="M58" s="6"/>
    </row>
    <row r="59">
      <c r="A59" s="4">
        <v>46003.0</v>
      </c>
      <c r="B59" s="5">
        <v>6.56</v>
      </c>
      <c r="C59" s="5">
        <v>208.12</v>
      </c>
      <c r="D59" s="4"/>
      <c r="E59" s="6">
        <f t="shared" ref="E59:F59" si="125">(B59-B60)/B60</f>
        <v>-0.0695035461</v>
      </c>
      <c r="F59" s="6">
        <f t="shared" si="125"/>
        <v>0.02240125761</v>
      </c>
      <c r="G59" s="7"/>
      <c r="H59" s="8">
        <f t="shared" ref="H59:I59" si="126">B59/B60-1</f>
        <v>-0.0695035461</v>
      </c>
      <c r="I59" s="8">
        <f t="shared" si="126"/>
        <v>0.02240125761</v>
      </c>
      <c r="J59" s="7"/>
      <c r="L59" s="6"/>
      <c r="M59" s="6"/>
    </row>
    <row r="60">
      <c r="A60" s="4">
        <v>46002.0</v>
      </c>
      <c r="B60" s="5">
        <v>7.05</v>
      </c>
      <c r="C60" s="5">
        <v>203.56</v>
      </c>
      <c r="D60" s="4"/>
      <c r="E60" s="6">
        <f t="shared" ref="E60:F60" si="127">(B60-B61)/B61</f>
        <v>0.007142857143</v>
      </c>
      <c r="F60" s="6">
        <f t="shared" si="127"/>
        <v>0.0138460006</v>
      </c>
      <c r="G60" s="7"/>
      <c r="H60" s="8">
        <f t="shared" ref="H60:I60" si="128">B60/B61-1</f>
        <v>0.007142857143</v>
      </c>
      <c r="I60" s="8">
        <f t="shared" si="128"/>
        <v>0.0138460006</v>
      </c>
      <c r="J60" s="7"/>
      <c r="L60" s="6"/>
      <c r="M60" s="6"/>
    </row>
    <row r="61">
      <c r="A61" s="4">
        <v>46001.0</v>
      </c>
      <c r="B61" s="5">
        <v>7.0</v>
      </c>
      <c r="C61" s="5">
        <v>200.78</v>
      </c>
      <c r="D61" s="4"/>
      <c r="E61" s="6">
        <f t="shared" ref="E61:F61" si="129">(B61-B62)/B62</f>
        <v>-0.05533063428</v>
      </c>
      <c r="F61" s="6">
        <f t="shared" si="129"/>
        <v>0.02261383315</v>
      </c>
      <c r="G61" s="7"/>
      <c r="H61" s="8">
        <f t="shared" ref="H61:I61" si="130">B61/B62-1</f>
        <v>-0.05533063428</v>
      </c>
      <c r="I61" s="8">
        <f t="shared" si="130"/>
        <v>0.02261383315</v>
      </c>
      <c r="J61" s="7"/>
      <c r="L61" s="6"/>
      <c r="M61" s="6"/>
    </row>
    <row r="62">
      <c r="A62" s="4">
        <v>46000.0</v>
      </c>
      <c r="B62" s="5">
        <v>7.41</v>
      </c>
      <c r="C62" s="5">
        <v>196.34</v>
      </c>
      <c r="D62" s="4"/>
      <c r="E62" s="6">
        <f t="shared" ref="E62:F62" si="131">(B62-B63)/B63</f>
        <v>0.05106382979</v>
      </c>
      <c r="F62" s="6">
        <f t="shared" si="131"/>
        <v>0.005788637877</v>
      </c>
      <c r="G62" s="7"/>
      <c r="H62" s="8">
        <f t="shared" ref="H62:I62" si="132">B62/B63-1</f>
        <v>0.05106382979</v>
      </c>
      <c r="I62" s="8">
        <f t="shared" si="132"/>
        <v>0.005788637877</v>
      </c>
      <c r="J62" s="7"/>
      <c r="L62" s="6"/>
      <c r="M62" s="6"/>
    </row>
    <row r="63">
      <c r="A63" s="4">
        <v>45999.0</v>
      </c>
      <c r="B63" s="5">
        <v>7.05</v>
      </c>
      <c r="C63" s="5">
        <v>195.21</v>
      </c>
      <c r="D63" s="4"/>
      <c r="E63" s="6">
        <f t="shared" ref="E63:F63" si="133">(B63-B64)/B64</f>
        <v>-0.01398601399</v>
      </c>
      <c r="F63" s="6">
        <f t="shared" si="133"/>
        <v>-0.006868131868</v>
      </c>
      <c r="G63" s="7"/>
      <c r="H63" s="8">
        <f t="shared" ref="H63:I63" si="134">B63/B64-1</f>
        <v>-0.01398601399</v>
      </c>
      <c r="I63" s="8">
        <f t="shared" si="134"/>
        <v>-0.006868131868</v>
      </c>
      <c r="J63" s="7"/>
      <c r="L63" s="6"/>
      <c r="M63" s="6"/>
    </row>
    <row r="64">
      <c r="A64" s="4">
        <v>45996.0</v>
      </c>
      <c r="B64" s="5">
        <v>7.15</v>
      </c>
      <c r="C64" s="5">
        <v>196.56</v>
      </c>
      <c r="D64" s="4"/>
      <c r="E64" s="6">
        <f t="shared" ref="E64:F64" si="135">(B64-B65)/B65</f>
        <v>-0.05672823219</v>
      </c>
      <c r="F64" s="6">
        <f t="shared" si="135"/>
        <v>-0.008624602814</v>
      </c>
      <c r="G64" s="7"/>
      <c r="H64" s="8">
        <f t="shared" ref="H64:I64" si="136">B64/B65-1</f>
        <v>-0.05672823219</v>
      </c>
      <c r="I64" s="8">
        <f t="shared" si="136"/>
        <v>-0.008624602814</v>
      </c>
      <c r="J64" s="7"/>
      <c r="L64" s="6"/>
      <c r="M64" s="6"/>
    </row>
    <row r="65">
      <c r="A65" s="4">
        <v>45995.0</v>
      </c>
      <c r="B65" s="5">
        <v>7.58</v>
      </c>
      <c r="C65" s="5">
        <v>198.27</v>
      </c>
      <c r="D65" s="4"/>
      <c r="E65" s="6">
        <f t="shared" ref="E65:F65" si="137">(B65-B66)/B66</f>
        <v>0.09221902017</v>
      </c>
      <c r="F65" s="6">
        <f t="shared" si="137"/>
        <v>0.01448014736</v>
      </c>
      <c r="G65" s="7"/>
      <c r="H65" s="8">
        <f t="shared" ref="H65:I65" si="138">B65/B66-1</f>
        <v>0.09221902017</v>
      </c>
      <c r="I65" s="8">
        <f t="shared" si="138"/>
        <v>0.01448014736</v>
      </c>
      <c r="J65" s="7"/>
      <c r="L65" s="6"/>
      <c r="M65" s="6"/>
    </row>
    <row r="66">
      <c r="A66" s="4">
        <v>45994.0</v>
      </c>
      <c r="B66" s="5">
        <v>6.94</v>
      </c>
      <c r="C66" s="5">
        <v>195.44</v>
      </c>
      <c r="D66" s="4"/>
      <c r="E66" s="6">
        <f t="shared" ref="E66:F66" si="139">(B66-B67)/B67</f>
        <v>-0.007153075823</v>
      </c>
      <c r="F66" s="6">
        <f t="shared" si="139"/>
        <v>-0.007868419717</v>
      </c>
      <c r="G66" s="7"/>
      <c r="H66" s="8">
        <f t="shared" ref="H66:I66" si="140">B66/B67-1</f>
        <v>-0.007153075823</v>
      </c>
      <c r="I66" s="8">
        <f t="shared" si="140"/>
        <v>-0.007868419717</v>
      </c>
      <c r="J66" s="7"/>
      <c r="L66" s="6"/>
      <c r="M66" s="6"/>
    </row>
    <row r="67">
      <c r="A67" s="4">
        <v>45993.0</v>
      </c>
      <c r="B67" s="5">
        <v>6.99</v>
      </c>
      <c r="C67" s="5">
        <v>196.99</v>
      </c>
      <c r="D67" s="4"/>
      <c r="E67" s="6">
        <f t="shared" ref="E67:F67" si="141">(B67-B68)/B68</f>
        <v>-0.02100840336</v>
      </c>
      <c r="F67" s="6">
        <f t="shared" si="141"/>
        <v>-0.01119365526</v>
      </c>
      <c r="G67" s="7"/>
      <c r="H67" s="8">
        <f t="shared" ref="H67:I67" si="142">B67/B68-1</f>
        <v>-0.02100840336</v>
      </c>
      <c r="I67" s="8">
        <f t="shared" si="142"/>
        <v>-0.01119365526</v>
      </c>
      <c r="J67" s="7"/>
      <c r="L67" s="6"/>
      <c r="M67" s="6"/>
    </row>
    <row r="68">
      <c r="A68" s="4">
        <v>45992.0</v>
      </c>
      <c r="B68" s="5">
        <v>7.14</v>
      </c>
      <c r="C68" s="5">
        <v>199.22</v>
      </c>
      <c r="D68" s="4"/>
      <c r="E68" s="6">
        <f t="shared" ref="E68:F68" si="143">(B68-B69)/B69</f>
        <v>-0.07272727273</v>
      </c>
      <c r="F68" s="6">
        <f t="shared" si="143"/>
        <v>-0.01312726012</v>
      </c>
      <c r="G68" s="7"/>
      <c r="H68" s="8">
        <f t="shared" ref="H68:I68" si="144">B68/B69-1</f>
        <v>-0.07272727273</v>
      </c>
      <c r="I68" s="8">
        <f t="shared" si="144"/>
        <v>-0.01312726012</v>
      </c>
      <c r="J68" s="7"/>
      <c r="L68" s="6"/>
      <c r="M68" s="6"/>
    </row>
    <row r="69">
      <c r="A69" s="4">
        <v>45989.0</v>
      </c>
      <c r="B69" s="5">
        <v>7.7</v>
      </c>
      <c r="C69" s="5">
        <v>201.87</v>
      </c>
      <c r="D69" s="4"/>
      <c r="E69" s="6">
        <f t="shared" ref="E69:F69" si="145">(B69-B70)/B70</f>
        <v>-0.01028277635</v>
      </c>
      <c r="F69" s="6">
        <f t="shared" si="145"/>
        <v>-0.002815649081</v>
      </c>
      <c r="G69" s="7"/>
      <c r="H69" s="8">
        <f t="shared" ref="H69:I69" si="146">B69/B70-1</f>
        <v>-0.01028277635</v>
      </c>
      <c r="I69" s="8">
        <f t="shared" si="146"/>
        <v>-0.002815649081</v>
      </c>
      <c r="J69" s="7"/>
      <c r="L69" s="6"/>
      <c r="M69" s="6"/>
    </row>
    <row r="70">
      <c r="A70" s="4">
        <v>45987.0</v>
      </c>
      <c r="B70" s="5">
        <v>7.78</v>
      </c>
      <c r="C70" s="5">
        <v>202.44</v>
      </c>
      <c r="D70" s="4"/>
      <c r="E70" s="6">
        <f t="shared" ref="E70:F70" si="147">(B70-B71)/B71</f>
        <v>0.005167958656</v>
      </c>
      <c r="F70" s="6">
        <f t="shared" si="147"/>
        <v>0.0108858484</v>
      </c>
      <c r="G70" s="7"/>
      <c r="H70" s="8">
        <f t="shared" ref="H70:I70" si="148">B70/B71-1</f>
        <v>0.005167958656</v>
      </c>
      <c r="I70" s="8">
        <f t="shared" si="148"/>
        <v>0.0108858484</v>
      </c>
      <c r="J70" s="7"/>
      <c r="L70" s="6"/>
      <c r="M70" s="6"/>
    </row>
    <row r="71">
      <c r="A71" s="4">
        <v>45986.0</v>
      </c>
      <c r="B71" s="5">
        <v>7.74</v>
      </c>
      <c r="C71" s="5">
        <v>200.26</v>
      </c>
      <c r="D71" s="4"/>
      <c r="E71" s="6">
        <f t="shared" ref="E71:F71" si="149">(B71-B72)/B72</f>
        <v>0.006501950585</v>
      </c>
      <c r="F71" s="6">
        <f t="shared" si="149"/>
        <v>0.006028333166</v>
      </c>
      <c r="G71" s="7"/>
      <c r="H71" s="8">
        <f t="shared" ref="H71:I71" si="150">B71/B72-1</f>
        <v>0.006501950585</v>
      </c>
      <c r="I71" s="8">
        <f t="shared" si="150"/>
        <v>0.006028333166</v>
      </c>
      <c r="J71" s="7"/>
      <c r="L71" s="6"/>
      <c r="M71" s="6"/>
    </row>
    <row r="72">
      <c r="A72" s="4">
        <v>45985.0</v>
      </c>
      <c r="B72" s="5">
        <v>7.69</v>
      </c>
      <c r="C72" s="5">
        <v>199.06</v>
      </c>
      <c r="D72" s="4"/>
      <c r="E72" s="6">
        <f t="shared" ref="E72:F72" si="151">(B72-B73)/B73</f>
        <v>0.1392592593</v>
      </c>
      <c r="F72" s="6">
        <f t="shared" si="151"/>
        <v>0.007286711871</v>
      </c>
      <c r="G72" s="7"/>
      <c r="H72" s="8">
        <f t="shared" ref="H72:I72" si="152">B72/B73-1</f>
        <v>0.1392592593</v>
      </c>
      <c r="I72" s="8">
        <f t="shared" si="152"/>
        <v>0.007286711871</v>
      </c>
      <c r="J72" s="7"/>
      <c r="L72" s="6"/>
      <c r="M72" s="6"/>
    </row>
    <row r="73">
      <c r="A73" s="4">
        <v>45982.0</v>
      </c>
      <c r="B73" s="5">
        <v>6.75</v>
      </c>
      <c r="C73" s="5">
        <v>197.62</v>
      </c>
      <c r="D73" s="4"/>
      <c r="E73" s="6">
        <f t="shared" ref="E73:F73" si="153">(B73-B74)/B74</f>
        <v>0.09577922078</v>
      </c>
      <c r="F73" s="6">
        <f t="shared" si="153"/>
        <v>0.03330718954</v>
      </c>
      <c r="G73" s="7"/>
      <c r="H73" s="8">
        <f t="shared" ref="H73:I73" si="154">B73/B74-1</f>
        <v>0.09577922078</v>
      </c>
      <c r="I73" s="8">
        <f t="shared" si="154"/>
        <v>0.03330718954</v>
      </c>
      <c r="J73" s="7"/>
      <c r="L73" s="6"/>
      <c r="M73" s="6"/>
    </row>
    <row r="74">
      <c r="A74" s="4">
        <v>45981.0</v>
      </c>
      <c r="B74" s="5">
        <v>6.16</v>
      </c>
      <c r="C74" s="5">
        <v>191.25</v>
      </c>
      <c r="D74" s="4"/>
      <c r="E74" s="6">
        <f t="shared" ref="E74:F74" si="155">(B74-B75)/B75</f>
        <v>-0.07922272048</v>
      </c>
      <c r="F74" s="6">
        <f t="shared" si="155"/>
        <v>-0.02810244944</v>
      </c>
      <c r="G74" s="7"/>
      <c r="H74" s="8">
        <f t="shared" ref="H74:I74" si="156">B74/B75-1</f>
        <v>-0.07922272048</v>
      </c>
      <c r="I74" s="8">
        <f t="shared" si="156"/>
        <v>-0.02810244944</v>
      </c>
      <c r="J74" s="7"/>
      <c r="L74" s="6"/>
      <c r="M74" s="6"/>
    </row>
    <row r="75">
      <c r="A75" s="4">
        <v>45980.0</v>
      </c>
      <c r="B75" s="5">
        <v>6.69</v>
      </c>
      <c r="C75" s="5">
        <v>196.78</v>
      </c>
      <c r="D75" s="4"/>
      <c r="E75" s="6">
        <f t="shared" ref="E75:F75" si="157">(B75-B76)/B76</f>
        <v>-0.1103723404</v>
      </c>
      <c r="F75" s="6">
        <f t="shared" si="157"/>
        <v>0.004184527455</v>
      </c>
      <c r="G75" s="7"/>
      <c r="H75" s="8">
        <f t="shared" ref="H75:I75" si="158">B75/B76-1</f>
        <v>-0.1103723404</v>
      </c>
      <c r="I75" s="8">
        <f t="shared" si="158"/>
        <v>0.004184527455</v>
      </c>
      <c r="J75" s="7"/>
      <c r="L75" s="6"/>
      <c r="M75" s="6"/>
    </row>
    <row r="76">
      <c r="A76" s="4">
        <v>45979.0</v>
      </c>
      <c r="B76" s="5">
        <v>7.52</v>
      </c>
      <c r="C76" s="5">
        <v>195.96</v>
      </c>
      <c r="D76" s="4"/>
      <c r="E76" s="6">
        <f t="shared" ref="E76:F76" si="159">(B76-B77)/B77</f>
        <v>-0.04081632653</v>
      </c>
      <c r="F76" s="6">
        <f t="shared" si="159"/>
        <v>-0.01527638191</v>
      </c>
      <c r="G76" s="7"/>
      <c r="H76" s="8">
        <f t="shared" ref="H76:I76" si="160">B76/B77-1</f>
        <v>-0.04081632653</v>
      </c>
      <c r="I76" s="8">
        <f t="shared" si="160"/>
        <v>-0.01527638191</v>
      </c>
      <c r="J76" s="7"/>
      <c r="L76" s="6"/>
      <c r="M76" s="6"/>
    </row>
    <row r="77">
      <c r="A77" s="4">
        <v>45978.0</v>
      </c>
      <c r="B77" s="5">
        <v>7.84</v>
      </c>
      <c r="C77" s="5">
        <v>199.0</v>
      </c>
      <c r="D77" s="4"/>
      <c r="E77" s="6">
        <f t="shared" ref="E77:F77" si="161">(B77-B78)/B78</f>
        <v>-0.03448275862</v>
      </c>
      <c r="F77" s="6">
        <f t="shared" si="161"/>
        <v>-0.02489219914</v>
      </c>
      <c r="G77" s="7"/>
      <c r="H77" s="8">
        <f t="shared" ref="H77:I77" si="162">B77/B78-1</f>
        <v>-0.03448275862</v>
      </c>
      <c r="I77" s="8">
        <f t="shared" si="162"/>
        <v>-0.02489219914</v>
      </c>
      <c r="J77" s="7"/>
      <c r="L77" s="6"/>
      <c r="M77" s="6"/>
    </row>
    <row r="78">
      <c r="A78" s="4">
        <v>45975.0</v>
      </c>
      <c r="B78" s="5">
        <v>8.12</v>
      </c>
      <c r="C78" s="5">
        <v>204.08</v>
      </c>
      <c r="D78" s="4"/>
      <c r="E78" s="6">
        <f t="shared" ref="E78:F78" si="163">(B78-B79)/B79</f>
        <v>-0.05140186916</v>
      </c>
      <c r="F78" s="6">
        <f t="shared" si="163"/>
        <v>0.004034241858</v>
      </c>
      <c r="G78" s="7"/>
      <c r="H78" s="8">
        <f t="shared" ref="H78:I78" si="164">B78/B79-1</f>
        <v>-0.05140186916</v>
      </c>
      <c r="I78" s="8">
        <f t="shared" si="164"/>
        <v>0.004034241858</v>
      </c>
      <c r="J78" s="7"/>
      <c r="L78" s="6"/>
      <c r="M78" s="6"/>
    </row>
    <row r="79">
      <c r="A79" s="4">
        <v>45974.0</v>
      </c>
      <c r="B79" s="5">
        <v>8.56</v>
      </c>
      <c r="C79" s="5">
        <v>203.26</v>
      </c>
      <c r="D79" s="4"/>
      <c r="E79" s="6">
        <f t="shared" ref="E79:F79" si="165">(B79-B80)/B80</f>
        <v>-0.08644610459</v>
      </c>
      <c r="F79" s="6">
        <f t="shared" si="165"/>
        <v>-0.01944136234</v>
      </c>
      <c r="G79" s="7"/>
      <c r="H79" s="8">
        <f t="shared" ref="H79:I79" si="166">B79/B80-1</f>
        <v>-0.08644610459</v>
      </c>
      <c r="I79" s="8">
        <f t="shared" si="166"/>
        <v>-0.01944136234</v>
      </c>
      <c r="J79" s="7"/>
      <c r="L79" s="6"/>
      <c r="M79" s="6"/>
    </row>
    <row r="80">
      <c r="A80" s="4">
        <v>45973.0</v>
      </c>
      <c r="B80" s="5">
        <v>9.37</v>
      </c>
      <c r="C80" s="5">
        <v>207.29</v>
      </c>
      <c r="D80" s="4"/>
      <c r="E80" s="6">
        <f t="shared" ref="E80:F80" si="167">(B80-B81)/B81</f>
        <v>0.1049528302</v>
      </c>
      <c r="F80" s="6">
        <f t="shared" si="167"/>
        <v>0.00631098597</v>
      </c>
      <c r="G80" s="7"/>
      <c r="H80" s="8">
        <f t="shared" ref="H80:I80" si="168">B80/B81-1</f>
        <v>0.1049528302</v>
      </c>
      <c r="I80" s="8">
        <f t="shared" si="168"/>
        <v>0.00631098597</v>
      </c>
      <c r="J80" s="7"/>
      <c r="L80" s="6"/>
      <c r="M80" s="6"/>
    </row>
    <row r="81">
      <c r="A81" s="4">
        <v>45972.0</v>
      </c>
      <c r="B81" s="5">
        <v>8.48</v>
      </c>
      <c r="C81" s="5">
        <v>205.99</v>
      </c>
      <c r="D81" s="4"/>
      <c r="E81" s="6">
        <f t="shared" ref="E81:F81" si="169">(B81-B82)/B82</f>
        <v>0.06398996236</v>
      </c>
      <c r="F81" s="6">
        <f t="shared" si="169"/>
        <v>0.01005197607</v>
      </c>
      <c r="G81" s="7"/>
      <c r="H81" s="8">
        <f t="shared" ref="H81:I81" si="170">B81/B82-1</f>
        <v>0.06398996236</v>
      </c>
      <c r="I81" s="8">
        <f t="shared" si="170"/>
        <v>0.01005197607</v>
      </c>
      <c r="J81" s="7"/>
      <c r="L81" s="6"/>
      <c r="M81" s="6"/>
    </row>
    <row r="82">
      <c r="A82" s="4">
        <v>45971.0</v>
      </c>
      <c r="B82" s="5">
        <v>7.97</v>
      </c>
      <c r="C82" s="5">
        <v>203.94</v>
      </c>
      <c r="D82" s="4"/>
      <c r="E82" s="6">
        <f t="shared" ref="E82:F82" si="171">(B82-B83)/B83</f>
        <v>0.2149390244</v>
      </c>
      <c r="F82" s="6">
        <f t="shared" si="171"/>
        <v>0.009703931082</v>
      </c>
      <c r="G82" s="7"/>
      <c r="H82" s="8">
        <f t="shared" ref="H82:I82" si="172">B82/B83-1</f>
        <v>0.2149390244</v>
      </c>
      <c r="I82" s="8">
        <f t="shared" si="172"/>
        <v>0.009703931082</v>
      </c>
      <c r="J82" s="7"/>
      <c r="L82" s="6"/>
      <c r="M82" s="6"/>
    </row>
    <row r="83">
      <c r="A83" s="4">
        <v>45968.0</v>
      </c>
      <c r="B83" s="5">
        <v>6.56</v>
      </c>
      <c r="C83" s="5">
        <v>201.98</v>
      </c>
      <c r="D83" s="4"/>
      <c r="E83" s="6">
        <f t="shared" ref="E83:F83" si="173">(B83-B84)/B84</f>
        <v>0</v>
      </c>
      <c r="F83" s="6">
        <f t="shared" si="173"/>
        <v>-0.004730462206</v>
      </c>
      <c r="G83" s="7"/>
      <c r="H83" s="8">
        <f t="shared" ref="H83:I83" si="174">B83/B84-1</f>
        <v>0</v>
      </c>
      <c r="I83" s="8">
        <f t="shared" si="174"/>
        <v>-0.004730462206</v>
      </c>
      <c r="J83" s="7"/>
      <c r="L83" s="6"/>
      <c r="M83" s="6"/>
    </row>
    <row r="84">
      <c r="A84" s="4">
        <v>45967.0</v>
      </c>
      <c r="B84" s="5">
        <v>6.56</v>
      </c>
      <c r="C84" s="5">
        <v>202.94</v>
      </c>
      <c r="D84" s="4"/>
      <c r="E84" s="6">
        <f t="shared" ref="E84:F84" si="175">(B84-B85)/B85</f>
        <v>-0.09266943292</v>
      </c>
      <c r="F84" s="6">
        <f t="shared" si="175"/>
        <v>0.01903088125</v>
      </c>
      <c r="G84" s="7"/>
      <c r="H84" s="8">
        <f t="shared" ref="H84:I84" si="176">B84/B85-1</f>
        <v>-0.09266943292</v>
      </c>
      <c r="I84" s="8">
        <f t="shared" si="176"/>
        <v>0.01903088125</v>
      </c>
      <c r="J84" s="7"/>
      <c r="L84" s="6"/>
      <c r="M84" s="6"/>
    </row>
    <row r="85">
      <c r="A85" s="4">
        <v>45966.0</v>
      </c>
      <c r="B85" s="5">
        <v>7.23</v>
      </c>
      <c r="C85" s="5">
        <v>199.15</v>
      </c>
      <c r="D85" s="4"/>
      <c r="E85" s="6">
        <f t="shared" ref="E85:F85" si="177">(B85-B86)/B86</f>
        <v>0.04479768786</v>
      </c>
      <c r="F85" s="6">
        <f t="shared" si="177"/>
        <v>-0.02324782971</v>
      </c>
      <c r="G85" s="7"/>
      <c r="H85" s="8">
        <f t="shared" ref="H85:I85" si="178">B85/B86-1</f>
        <v>0.04479768786</v>
      </c>
      <c r="I85" s="8">
        <f t="shared" si="178"/>
        <v>-0.02324782971</v>
      </c>
      <c r="J85" s="7"/>
      <c r="L85" s="6"/>
      <c r="M85" s="6"/>
    </row>
    <row r="86">
      <c r="A86" s="4">
        <v>45965.0</v>
      </c>
      <c r="B86" s="5">
        <v>6.92</v>
      </c>
      <c r="C86" s="5">
        <v>203.89</v>
      </c>
      <c r="D86" s="4"/>
      <c r="E86" s="6">
        <f t="shared" ref="E86:F86" si="179">(B86-B87)/B87</f>
        <v>-0.0882740448</v>
      </c>
      <c r="F86" s="6">
        <f t="shared" si="179"/>
        <v>-0.008895586234</v>
      </c>
      <c r="G86" s="7"/>
      <c r="H86" s="8">
        <f t="shared" ref="H86:I86" si="180">B86/B87-1</f>
        <v>-0.0882740448</v>
      </c>
      <c r="I86" s="8">
        <f t="shared" si="180"/>
        <v>-0.008895586234</v>
      </c>
      <c r="J86" s="7"/>
      <c r="L86" s="6"/>
      <c r="M86" s="6"/>
    </row>
    <row r="87">
      <c r="A87" s="4">
        <v>45964.0</v>
      </c>
      <c r="B87" s="5">
        <v>7.59</v>
      </c>
      <c r="C87" s="5">
        <v>205.72</v>
      </c>
      <c r="D87" s="4"/>
      <c r="E87" s="6">
        <f t="shared" ref="E87:F87" si="181">(B87-B88)/B88</f>
        <v>-0.02316602317</v>
      </c>
      <c r="F87" s="6">
        <f t="shared" si="181"/>
        <v>0.007493021206</v>
      </c>
      <c r="G87" s="7"/>
      <c r="H87" s="8">
        <f t="shared" ref="H87:I87" si="182">B87/B88-1</f>
        <v>-0.02316602317</v>
      </c>
      <c r="I87" s="8">
        <f t="shared" si="182"/>
        <v>0.007493021206</v>
      </c>
      <c r="J87" s="7"/>
      <c r="L87" s="6"/>
      <c r="M87" s="6"/>
    </row>
    <row r="88">
      <c r="A88" s="4">
        <v>45961.0</v>
      </c>
      <c r="B88" s="5">
        <v>7.77</v>
      </c>
      <c r="C88" s="5">
        <v>204.19</v>
      </c>
      <c r="D88" s="4"/>
      <c r="E88" s="6">
        <f t="shared" ref="E88:F88" si="183">(B88-B89)/B89</f>
        <v>0.05858310627</v>
      </c>
      <c r="F88" s="6">
        <f t="shared" si="183"/>
        <v>-0.01457458617</v>
      </c>
      <c r="G88" s="7"/>
      <c r="H88" s="8">
        <f t="shared" ref="H88:I88" si="184">B88/B89-1</f>
        <v>0.05858310627</v>
      </c>
      <c r="I88" s="8">
        <f t="shared" si="184"/>
        <v>-0.01457458617</v>
      </c>
      <c r="J88" s="7"/>
      <c r="L88" s="6"/>
      <c r="M88" s="6"/>
    </row>
    <row r="89">
      <c r="A89" s="4">
        <v>45960.0</v>
      </c>
      <c r="B89" s="5">
        <v>7.34</v>
      </c>
      <c r="C89" s="5">
        <v>207.21</v>
      </c>
      <c r="D89" s="4"/>
      <c r="E89" s="6">
        <f t="shared" ref="E89:F89" si="185">(B89-B90)/B90</f>
        <v>-0.04052287582</v>
      </c>
      <c r="F89" s="6">
        <f t="shared" si="185"/>
        <v>0.0005794582066</v>
      </c>
      <c r="G89" s="7"/>
      <c r="H89" s="8">
        <f t="shared" ref="H89:I89" si="186">B89/B90-1</f>
        <v>-0.04052287582</v>
      </c>
      <c r="I89" s="8">
        <f t="shared" si="186"/>
        <v>0.0005794582066</v>
      </c>
      <c r="J89" s="7"/>
      <c r="L89" s="6"/>
      <c r="M89" s="6"/>
    </row>
    <row r="90">
      <c r="A90" s="4">
        <v>45959.0</v>
      </c>
      <c r="B90" s="5">
        <v>7.65</v>
      </c>
      <c r="C90" s="5">
        <v>207.09</v>
      </c>
      <c r="D90" s="4"/>
      <c r="E90" s="6">
        <f t="shared" ref="E90:F90" si="187">(B90-B91)/B91</f>
        <v>-0.04015056462</v>
      </c>
      <c r="F90" s="6">
        <f t="shared" si="187"/>
        <v>-0.0196459004</v>
      </c>
      <c r="G90" s="7"/>
      <c r="H90" s="8">
        <f t="shared" ref="H90:I90" si="188">B90/B91-1</f>
        <v>-0.04015056462</v>
      </c>
      <c r="I90" s="8">
        <f t="shared" si="188"/>
        <v>-0.0196459004</v>
      </c>
      <c r="J90" s="7"/>
      <c r="L90" s="6"/>
      <c r="M90" s="6"/>
    </row>
    <row r="91">
      <c r="A91" s="4">
        <v>45958.0</v>
      </c>
      <c r="B91" s="5">
        <v>7.97</v>
      </c>
      <c r="C91" s="5">
        <v>211.24</v>
      </c>
      <c r="D91" s="4"/>
      <c r="E91" s="6">
        <f t="shared" ref="E91:F91" si="189">(B91-B92)/B92</f>
        <v>-0.02328431373</v>
      </c>
      <c r="F91" s="6">
        <f t="shared" si="189"/>
        <v>0.009654908709</v>
      </c>
      <c r="G91" s="7"/>
      <c r="H91" s="8">
        <f t="shared" ref="H91:I91" si="190">B91/B92-1</f>
        <v>-0.02328431373</v>
      </c>
      <c r="I91" s="8">
        <f t="shared" si="190"/>
        <v>0.009654908709</v>
      </c>
      <c r="J91" s="7"/>
      <c r="L91" s="6"/>
      <c r="M91" s="6"/>
    </row>
    <row r="92">
      <c r="A92" s="4">
        <v>45957.0</v>
      </c>
      <c r="B92" s="5">
        <v>8.16</v>
      </c>
      <c r="C92" s="5">
        <v>209.22</v>
      </c>
      <c r="D92" s="4"/>
      <c r="E92" s="6">
        <f t="shared" ref="E92:F92" si="191">(B92-B93)/B93</f>
        <v>0.02383939774</v>
      </c>
      <c r="F92" s="6">
        <f t="shared" si="191"/>
        <v>0.01874665238</v>
      </c>
      <c r="G92" s="7"/>
      <c r="H92" s="8">
        <f t="shared" ref="H92:I92" si="192">B92/B93-1</f>
        <v>0.02383939774</v>
      </c>
      <c r="I92" s="8">
        <f t="shared" si="192"/>
        <v>0.01874665238</v>
      </c>
      <c r="J92" s="7"/>
      <c r="L92" s="6"/>
      <c r="M92" s="6"/>
    </row>
    <row r="93">
      <c r="A93" s="4">
        <v>45954.0</v>
      </c>
      <c r="B93" s="5">
        <v>7.97</v>
      </c>
      <c r="C93" s="5">
        <v>205.37</v>
      </c>
      <c r="D93" s="4"/>
      <c r="E93" s="6">
        <f t="shared" ref="E93:F93" si="193">(B93-B94)/B94</f>
        <v>0.13371266</v>
      </c>
      <c r="F93" s="6">
        <f t="shared" si="193"/>
        <v>0.006419680486</v>
      </c>
      <c r="G93" s="7"/>
      <c r="H93" s="8">
        <f t="shared" ref="H93:I93" si="194">B93/B94-1</f>
        <v>0.13371266</v>
      </c>
      <c r="I93" s="8">
        <f t="shared" si="194"/>
        <v>0.006419680486</v>
      </c>
      <c r="J93" s="7"/>
      <c r="L93" s="6"/>
      <c r="M93" s="6"/>
    </row>
    <row r="94">
      <c r="A94" s="4">
        <v>45953.0</v>
      </c>
      <c r="B94" s="5">
        <v>7.03</v>
      </c>
      <c r="C94" s="5">
        <v>204.06</v>
      </c>
      <c r="D94" s="4"/>
      <c r="E94" s="6">
        <f t="shared" ref="E94:F94" si="195">(B94-B95)/B95</f>
        <v>0.03079178886</v>
      </c>
      <c r="F94" s="6">
        <f t="shared" si="195"/>
        <v>0.002702569898</v>
      </c>
      <c r="G94" s="7"/>
      <c r="H94" s="8">
        <f t="shared" ref="H94:I94" si="196">B94/B95-1</f>
        <v>0.03079178886</v>
      </c>
      <c r="I94" s="8">
        <f t="shared" si="196"/>
        <v>0.002702569898</v>
      </c>
      <c r="J94" s="7"/>
      <c r="L94" s="6"/>
      <c r="M94" s="6"/>
    </row>
    <row r="95">
      <c r="A95" s="4">
        <v>45952.0</v>
      </c>
      <c r="B95" s="5">
        <v>6.82</v>
      </c>
      <c r="C95" s="5">
        <v>203.51</v>
      </c>
      <c r="D95" s="4"/>
      <c r="E95" s="6">
        <f t="shared" ref="E95:F95" si="197">(B95-B96)/B96</f>
        <v>-0.02011494253</v>
      </c>
      <c r="F95" s="6">
        <f t="shared" si="197"/>
        <v>0.007724684328</v>
      </c>
      <c r="G95" s="7"/>
      <c r="H95" s="8">
        <f t="shared" ref="H95:I95" si="198">B95/B96-1</f>
        <v>-0.02011494253</v>
      </c>
      <c r="I95" s="8">
        <f t="shared" si="198"/>
        <v>0.007724684328</v>
      </c>
      <c r="J95" s="7"/>
      <c r="L95" s="6"/>
      <c r="M95" s="6"/>
    </row>
    <row r="96">
      <c r="A96" s="4">
        <v>45951.0</v>
      </c>
      <c r="B96" s="5">
        <v>6.96</v>
      </c>
      <c r="C96" s="5">
        <v>201.95</v>
      </c>
      <c r="D96" s="4"/>
      <c r="E96" s="6">
        <f t="shared" ref="E96:F96" si="199">(B96-B97)/B97</f>
        <v>-0.05563093623</v>
      </c>
      <c r="F96" s="6">
        <f t="shared" si="199"/>
        <v>0.009194942781</v>
      </c>
      <c r="G96" s="7"/>
      <c r="H96" s="8">
        <f t="shared" ref="H96:I96" si="200">B96/B97-1</f>
        <v>-0.05563093623</v>
      </c>
      <c r="I96" s="8">
        <f t="shared" si="200"/>
        <v>0.009194942781</v>
      </c>
      <c r="J96" s="7"/>
      <c r="L96" s="6"/>
      <c r="M96" s="6"/>
    </row>
    <row r="97">
      <c r="A97" s="4">
        <v>45950.0</v>
      </c>
      <c r="B97" s="5">
        <v>7.37</v>
      </c>
      <c r="C97" s="5">
        <v>200.11</v>
      </c>
      <c r="D97" s="4"/>
      <c r="E97" s="6">
        <f t="shared" ref="E97:F97" si="201">(B97-B98)/B98</f>
        <v>0.02932960894</v>
      </c>
      <c r="F97" s="6">
        <f t="shared" si="201"/>
        <v>0.01152504676</v>
      </c>
      <c r="G97" s="7"/>
      <c r="H97" s="8">
        <f t="shared" ref="H97:I97" si="202">B97/B98-1</f>
        <v>0.02932960894</v>
      </c>
      <c r="I97" s="8">
        <f t="shared" si="202"/>
        <v>0.01152504676</v>
      </c>
      <c r="J97" s="7"/>
      <c r="L97" s="6"/>
      <c r="M97" s="6"/>
    </row>
    <row r="98">
      <c r="A98" s="4">
        <v>45947.0</v>
      </c>
      <c r="B98" s="5">
        <v>7.16</v>
      </c>
      <c r="C98" s="5">
        <v>197.83</v>
      </c>
      <c r="D98" s="4"/>
      <c r="E98" s="6">
        <f t="shared" ref="E98:F98" si="203">(B98-B99)/B99</f>
        <v>0.007032348805</v>
      </c>
      <c r="F98" s="6">
        <f t="shared" si="203"/>
        <v>0.0123842178</v>
      </c>
      <c r="G98" s="7"/>
      <c r="H98" s="8">
        <f t="shared" ref="H98:I98" si="204">B98/B99-1</f>
        <v>0.007032348805</v>
      </c>
      <c r="I98" s="8">
        <f t="shared" si="204"/>
        <v>0.0123842178</v>
      </c>
      <c r="J98" s="7"/>
      <c r="L98" s="6"/>
      <c r="M98" s="6"/>
    </row>
    <row r="99">
      <c r="A99" s="4">
        <v>45946.0</v>
      </c>
      <c r="B99" s="5">
        <v>7.11</v>
      </c>
      <c r="C99" s="5">
        <v>195.41</v>
      </c>
      <c r="D99" s="4"/>
      <c r="E99" s="6">
        <f t="shared" ref="E99:F99" si="205">(B99-B100)/B100</f>
        <v>-0.03658536585</v>
      </c>
      <c r="F99" s="6">
        <f t="shared" si="205"/>
        <v>0.005557556733</v>
      </c>
      <c r="G99" s="7"/>
      <c r="H99" s="8">
        <f t="shared" ref="H99:I99" si="206">B99/B100-1</f>
        <v>-0.03658536585</v>
      </c>
      <c r="I99" s="8">
        <f t="shared" si="206"/>
        <v>0.005557556733</v>
      </c>
      <c r="J99" s="7"/>
      <c r="L99" s="6"/>
      <c r="M99" s="6"/>
    </row>
    <row r="100">
      <c r="A100" s="4">
        <v>45945.0</v>
      </c>
      <c r="B100" s="5">
        <v>7.38</v>
      </c>
      <c r="C100" s="5">
        <v>194.33</v>
      </c>
      <c r="D100" s="4"/>
      <c r="E100" s="6">
        <f t="shared" ref="E100:F100" si="207">(B100-B101)/B101</f>
        <v>-0.03403141361</v>
      </c>
      <c r="F100" s="6">
        <f t="shared" si="207"/>
        <v>0.01350787525</v>
      </c>
      <c r="G100" s="7"/>
      <c r="H100" s="8">
        <f t="shared" ref="H100:I100" si="208">B100/B101-1</f>
        <v>-0.03403141361</v>
      </c>
      <c r="I100" s="8">
        <f t="shared" si="208"/>
        <v>0.01350787525</v>
      </c>
      <c r="J100" s="7"/>
      <c r="L100" s="6"/>
      <c r="M100" s="6"/>
    </row>
    <row r="101">
      <c r="A101" s="4">
        <v>45944.0</v>
      </c>
      <c r="B101" s="5">
        <v>7.64</v>
      </c>
      <c r="C101" s="5">
        <v>191.74</v>
      </c>
      <c r="D101" s="4"/>
      <c r="E101" s="6">
        <f t="shared" ref="E101:F101" si="209">(B101-B102)/B102</f>
        <v>0.05089408528</v>
      </c>
      <c r="F101" s="6">
        <f t="shared" si="209"/>
        <v>0.02054502874</v>
      </c>
      <c r="G101" s="7"/>
      <c r="H101" s="8">
        <f t="shared" ref="H101:I101" si="210">B101/B102-1</f>
        <v>0.05089408528</v>
      </c>
      <c r="I101" s="8">
        <f t="shared" si="210"/>
        <v>0.02054502874</v>
      </c>
      <c r="J101" s="7"/>
      <c r="L101" s="6"/>
      <c r="M101" s="6"/>
    </row>
    <row r="102">
      <c r="A102" s="4">
        <v>45943.0</v>
      </c>
      <c r="B102" s="5">
        <v>7.27</v>
      </c>
      <c r="C102" s="5">
        <v>187.88</v>
      </c>
      <c r="D102" s="4"/>
      <c r="E102" s="6">
        <f t="shared" ref="E102:F102" si="211">(B102-B103)/B103</f>
        <v>-0.03963011889</v>
      </c>
      <c r="F102" s="6">
        <f t="shared" si="211"/>
        <v>0.01436130008</v>
      </c>
      <c r="G102" s="7"/>
      <c r="H102" s="8">
        <f t="shared" ref="H102:I102" si="212">B102/B103-1</f>
        <v>-0.03963011889</v>
      </c>
      <c r="I102" s="8">
        <f t="shared" si="212"/>
        <v>0.01436130008</v>
      </c>
      <c r="J102" s="7"/>
      <c r="L102" s="6"/>
      <c r="M102" s="6"/>
    </row>
    <row r="103">
      <c r="A103" s="4">
        <v>45940.0</v>
      </c>
      <c r="B103" s="5">
        <v>7.57</v>
      </c>
      <c r="C103" s="5">
        <v>185.22</v>
      </c>
      <c r="D103" s="4"/>
      <c r="E103" s="6">
        <f t="shared" ref="E103:F103" si="213">(B103-B104)/B104</f>
        <v>-0.07002457002</v>
      </c>
      <c r="F103" s="6">
        <f t="shared" si="213"/>
        <v>-0.03696771175</v>
      </c>
      <c r="G103" s="7"/>
      <c r="H103" s="8">
        <f t="shared" ref="H103:I103" si="214">B103/B104-1</f>
        <v>-0.07002457002</v>
      </c>
      <c r="I103" s="8">
        <f t="shared" si="214"/>
        <v>-0.03696771175</v>
      </c>
      <c r="J103" s="7"/>
      <c r="L103" s="6"/>
      <c r="M103" s="6"/>
    </row>
    <row r="104">
      <c r="A104" s="4">
        <v>45939.0</v>
      </c>
      <c r="B104" s="5">
        <v>8.14</v>
      </c>
      <c r="C104" s="5">
        <v>192.33</v>
      </c>
      <c r="D104" s="4"/>
      <c r="E104" s="6">
        <f t="shared" ref="E104:F104" si="215">(B104-B105)/B105</f>
        <v>-0.04122497055</v>
      </c>
      <c r="F104" s="6">
        <f t="shared" si="215"/>
        <v>-0.02966550628</v>
      </c>
      <c r="G104" s="7"/>
      <c r="H104" s="8">
        <f t="shared" ref="H104:I104" si="216">B104/B105-1</f>
        <v>-0.04122497055</v>
      </c>
      <c r="I104" s="8">
        <f t="shared" si="216"/>
        <v>-0.02966550628</v>
      </c>
      <c r="J104" s="7"/>
      <c r="L104" s="6"/>
      <c r="M104" s="6"/>
    </row>
    <row r="105">
      <c r="A105" s="4">
        <v>45938.0</v>
      </c>
      <c r="B105" s="5">
        <v>8.49</v>
      </c>
      <c r="C105" s="5">
        <v>198.21</v>
      </c>
      <c r="D105" s="4"/>
      <c r="E105" s="6">
        <f t="shared" ref="E105:F105" si="217">(B105-B106)/B106</f>
        <v>-0.08611410118</v>
      </c>
      <c r="F105" s="6">
        <f t="shared" si="217"/>
        <v>-0.008404622542</v>
      </c>
      <c r="G105" s="7"/>
      <c r="H105" s="8">
        <f t="shared" ref="H105:I105" si="218">B105/B106-1</f>
        <v>-0.08611410118</v>
      </c>
      <c r="I105" s="8">
        <f t="shared" si="218"/>
        <v>-0.008404622542</v>
      </c>
      <c r="J105" s="7"/>
      <c r="L105" s="6"/>
      <c r="M105" s="6"/>
    </row>
    <row r="106">
      <c r="A106" s="4">
        <v>45937.0</v>
      </c>
      <c r="B106" s="5">
        <v>9.29</v>
      </c>
      <c r="C106" s="5">
        <v>199.89</v>
      </c>
      <c r="D106" s="4"/>
      <c r="E106" s="6">
        <f t="shared" ref="E106:F106" si="219">(B106-B107)/B107</f>
        <v>0.001077586207</v>
      </c>
      <c r="F106" s="6">
        <f t="shared" si="219"/>
        <v>0.003564614921</v>
      </c>
      <c r="G106" s="7"/>
      <c r="H106" s="8">
        <f t="shared" ref="H106:I106" si="220">B106/B107-1</f>
        <v>0.001077586207</v>
      </c>
      <c r="I106" s="8">
        <f t="shared" si="220"/>
        <v>0.003564614921</v>
      </c>
      <c r="J106" s="7"/>
      <c r="L106" s="6"/>
      <c r="M106" s="6"/>
    </row>
    <row r="107">
      <c r="A107" s="4">
        <v>45936.0</v>
      </c>
      <c r="B107" s="5">
        <v>9.28</v>
      </c>
      <c r="C107" s="5">
        <v>199.18</v>
      </c>
      <c r="D107" s="4"/>
      <c r="E107" s="6">
        <f t="shared" ref="E107:F107" si="221">(B107-B108)/B108</f>
        <v>0.1442663379</v>
      </c>
      <c r="F107" s="6">
        <f t="shared" si="221"/>
        <v>0.02358805694</v>
      </c>
      <c r="G107" s="7"/>
      <c r="H107" s="8">
        <f t="shared" ref="H107:I107" si="222">B107/B108-1</f>
        <v>0.1442663379</v>
      </c>
      <c r="I107" s="8">
        <f t="shared" si="222"/>
        <v>0.02358805694</v>
      </c>
      <c r="J107" s="7"/>
      <c r="L107" s="6"/>
      <c r="M107" s="6"/>
    </row>
    <row r="108">
      <c r="A108" s="4">
        <v>45933.0</v>
      </c>
      <c r="B108" s="5">
        <v>8.11</v>
      </c>
      <c r="C108" s="5">
        <v>194.59</v>
      </c>
      <c r="D108" s="4"/>
      <c r="E108" s="6">
        <f t="shared" ref="E108:F108" si="223">(B108-B109)/B109</f>
        <v>0.01248439451</v>
      </c>
      <c r="F108" s="6">
        <f t="shared" si="223"/>
        <v>0.02136258661</v>
      </c>
      <c r="G108" s="7"/>
      <c r="H108" s="8">
        <f t="shared" ref="H108:I108" si="224">B108/B109-1</f>
        <v>0.01248439451</v>
      </c>
      <c r="I108" s="8">
        <f t="shared" si="224"/>
        <v>0.02136258661</v>
      </c>
      <c r="J108" s="7"/>
      <c r="L108" s="6"/>
      <c r="M108" s="6"/>
    </row>
    <row r="109">
      <c r="A109" s="4">
        <v>45932.0</v>
      </c>
      <c r="B109" s="5">
        <v>8.01</v>
      </c>
      <c r="C109" s="5">
        <v>190.52</v>
      </c>
      <c r="D109" s="4"/>
      <c r="E109" s="6">
        <f t="shared" ref="E109:F109" si="225">(B109-B110)/B110</f>
        <v>-0.006203473945</v>
      </c>
      <c r="F109" s="6">
        <f t="shared" si="225"/>
        <v>-0.006828963144</v>
      </c>
      <c r="G109" s="7"/>
      <c r="H109" s="8">
        <f t="shared" ref="H109:I109" si="226">B109/B110-1</f>
        <v>-0.006203473945</v>
      </c>
      <c r="I109" s="8">
        <f t="shared" si="226"/>
        <v>-0.006828963144</v>
      </c>
      <c r="J109" s="7"/>
      <c r="L109" s="6"/>
      <c r="M109" s="6"/>
    </row>
    <row r="110">
      <c r="A110" s="4">
        <v>45931.0</v>
      </c>
      <c r="B110" s="5">
        <v>8.06</v>
      </c>
      <c r="C110" s="5">
        <v>191.83</v>
      </c>
      <c r="D110" s="4"/>
      <c r="E110" s="6">
        <f t="shared" ref="E110:F110" si="227">(B110-B111)/B111</f>
        <v>0.0112923463</v>
      </c>
      <c r="F110" s="6">
        <f t="shared" si="227"/>
        <v>0.003872520802</v>
      </c>
      <c r="G110" s="7"/>
      <c r="H110" s="8">
        <f t="shared" ref="H110:I110" si="228">B110/B111-1</f>
        <v>0.0112923463</v>
      </c>
      <c r="I110" s="8">
        <f t="shared" si="228"/>
        <v>0.003872520802</v>
      </c>
      <c r="J110" s="7"/>
      <c r="L110" s="6"/>
      <c r="M110" s="6"/>
    </row>
    <row r="111">
      <c r="A111" s="4">
        <v>45930.0</v>
      </c>
      <c r="B111" s="5">
        <v>7.97</v>
      </c>
      <c r="C111" s="5">
        <v>191.09</v>
      </c>
      <c r="D111" s="4"/>
      <c r="E111" s="6">
        <f t="shared" ref="E111:F111" si="229">(B111-B112)/B112</f>
        <v>-0.02804878049</v>
      </c>
      <c r="F111" s="6">
        <f t="shared" si="229"/>
        <v>-0.02723477907</v>
      </c>
      <c r="G111" s="7"/>
      <c r="H111" s="8">
        <f t="shared" ref="H111:I111" si="230">B111/B112-1</f>
        <v>-0.02804878049</v>
      </c>
      <c r="I111" s="8">
        <f t="shared" si="230"/>
        <v>-0.02723477907</v>
      </c>
      <c r="J111" s="7"/>
      <c r="L111" s="6"/>
      <c r="M111" s="6"/>
    </row>
    <row r="112">
      <c r="A112" s="4">
        <v>45929.0</v>
      </c>
      <c r="B112" s="5">
        <v>8.2</v>
      </c>
      <c r="C112" s="5">
        <v>196.44</v>
      </c>
      <c r="D112" s="4"/>
      <c r="E112" s="6">
        <f t="shared" ref="E112:F112" si="231">(B112-B113)/B113</f>
        <v>-0.06923950057</v>
      </c>
      <c r="F112" s="6">
        <f t="shared" si="231"/>
        <v>-0.008379606259</v>
      </c>
      <c r="G112" s="7"/>
      <c r="H112" s="8">
        <f t="shared" ref="H112:I112" si="232">B112/B113-1</f>
        <v>-0.06923950057</v>
      </c>
      <c r="I112" s="8">
        <f t="shared" si="232"/>
        <v>-0.008379606259</v>
      </c>
      <c r="J112" s="7"/>
      <c r="L112" s="6"/>
      <c r="M112" s="6"/>
    </row>
    <row r="113">
      <c r="A113" s="4">
        <v>45926.0</v>
      </c>
      <c r="B113" s="5">
        <v>8.81</v>
      </c>
      <c r="C113" s="5">
        <v>198.1</v>
      </c>
      <c r="D113" s="4"/>
      <c r="E113" s="6">
        <f t="shared" ref="E113:F113" si="233">(B113-B114)/B114</f>
        <v>-0.03080308031</v>
      </c>
      <c r="F113" s="6">
        <f t="shared" si="233"/>
        <v>0.004156528792</v>
      </c>
      <c r="G113" s="7"/>
      <c r="H113" s="8">
        <f t="shared" ref="H113:I113" si="234">B113/B114-1</f>
        <v>-0.03080308031</v>
      </c>
      <c r="I113" s="8">
        <f t="shared" si="234"/>
        <v>0.004156528792</v>
      </c>
      <c r="J113" s="7"/>
      <c r="L113" s="6"/>
      <c r="M113" s="6"/>
    </row>
    <row r="114">
      <c r="A114" s="4">
        <v>45925.0</v>
      </c>
      <c r="B114" s="5">
        <v>9.09</v>
      </c>
      <c r="C114" s="5">
        <v>197.28</v>
      </c>
      <c r="D114" s="4"/>
      <c r="E114" s="6">
        <f t="shared" ref="E114:F114" si="235">(B114-B115)/B115</f>
        <v>0.1044957473</v>
      </c>
      <c r="F114" s="6">
        <f t="shared" si="235"/>
        <v>-0.004089050432</v>
      </c>
      <c r="G114" s="7"/>
      <c r="H114" s="8">
        <f t="shared" ref="H114:I114" si="236">B114/B115-1</f>
        <v>0.1044957473</v>
      </c>
      <c r="I114" s="8">
        <f t="shared" si="236"/>
        <v>-0.004089050432</v>
      </c>
      <c r="J114" s="7"/>
      <c r="L114" s="6"/>
      <c r="M114" s="6"/>
    </row>
    <row r="115">
      <c r="A115" s="4">
        <v>45924.0</v>
      </c>
      <c r="B115" s="5">
        <v>8.23</v>
      </c>
      <c r="C115" s="5">
        <v>198.09</v>
      </c>
      <c r="D115" s="4"/>
      <c r="E115" s="6">
        <f t="shared" ref="E115:F115" si="237">(B115-B116)/B116</f>
        <v>0.1607898449</v>
      </c>
      <c r="F115" s="6">
        <f t="shared" si="237"/>
        <v>-0.01280773448</v>
      </c>
      <c r="G115" s="7"/>
      <c r="H115" s="8">
        <f t="shared" ref="H115:I115" si="238">B115/B116-1</f>
        <v>0.1607898449</v>
      </c>
      <c r="I115" s="8">
        <f t="shared" si="238"/>
        <v>-0.01280773448</v>
      </c>
      <c r="J115" s="7"/>
      <c r="L115" s="6"/>
      <c r="M115" s="6"/>
    </row>
    <row r="116">
      <c r="A116" s="4">
        <v>45923.0</v>
      </c>
      <c r="B116" s="5">
        <v>7.09</v>
      </c>
      <c r="C116" s="5">
        <v>200.66</v>
      </c>
      <c r="D116" s="4"/>
      <c r="E116" s="6">
        <f t="shared" ref="E116:F116" si="239">(B116-B117)/B117</f>
        <v>-0.1539379475</v>
      </c>
      <c r="F116" s="6">
        <f t="shared" si="239"/>
        <v>-0.00009966115208</v>
      </c>
      <c r="G116" s="7"/>
      <c r="H116" s="8">
        <f t="shared" ref="H116:I116" si="240">B116/B117-1</f>
        <v>-0.1539379475</v>
      </c>
      <c r="I116" s="8">
        <f t="shared" si="240"/>
        <v>-0.00009966115208</v>
      </c>
      <c r="J116" s="7"/>
      <c r="L116" s="6"/>
      <c r="M116" s="6"/>
    </row>
    <row r="117">
      <c r="A117" s="4">
        <v>45922.0</v>
      </c>
      <c r="B117" s="5">
        <v>8.38</v>
      </c>
      <c r="C117" s="5">
        <v>200.68</v>
      </c>
      <c r="D117" s="4"/>
      <c r="E117" s="6">
        <f t="shared" ref="E117:F117" si="241">(B117-B118)/B118</f>
        <v>-0.1243469175</v>
      </c>
      <c r="F117" s="6">
        <f t="shared" si="241"/>
        <v>0.008695652174</v>
      </c>
      <c r="G117" s="7"/>
      <c r="H117" s="8">
        <f t="shared" ref="H117:I117" si="242">B117/B118-1</f>
        <v>-0.1243469175</v>
      </c>
      <c r="I117" s="8">
        <f t="shared" si="242"/>
        <v>0.008695652174</v>
      </c>
      <c r="J117" s="7"/>
      <c r="L117" s="6"/>
      <c r="M117" s="6"/>
    </row>
    <row r="118">
      <c r="A118" s="4">
        <v>45919.0</v>
      </c>
      <c r="B118" s="5">
        <v>9.57</v>
      </c>
      <c r="C118" s="5">
        <v>198.95</v>
      </c>
      <c r="D118" s="4"/>
      <c r="E118" s="6">
        <f t="shared" ref="E118:F118" si="243">(B118-B119)/B119</f>
        <v>-0.03722334004</v>
      </c>
      <c r="F118" s="6">
        <f t="shared" si="243"/>
        <v>-0.007582181873</v>
      </c>
      <c r="G118" s="7"/>
      <c r="H118" s="8">
        <f t="shared" ref="H118:I118" si="244">B118/B119-1</f>
        <v>-0.03722334004</v>
      </c>
      <c r="I118" s="8">
        <f t="shared" si="244"/>
        <v>-0.007582181873</v>
      </c>
      <c r="J118" s="7"/>
      <c r="L118" s="6"/>
      <c r="M118" s="6"/>
    </row>
    <row r="119">
      <c r="A119" s="4">
        <v>45918.0</v>
      </c>
      <c r="B119" s="5">
        <v>9.94</v>
      </c>
      <c r="C119" s="5">
        <v>200.47</v>
      </c>
      <c r="D119" s="4"/>
      <c r="E119" s="6">
        <f t="shared" ref="E119:F119" si="245">(B119-B120)/B120</f>
        <v>-0.0264446621</v>
      </c>
      <c r="F119" s="6">
        <f t="shared" si="245"/>
        <v>-0.004518820141</v>
      </c>
      <c r="G119" s="7"/>
      <c r="H119" s="8">
        <f t="shared" ref="H119:I119" si="246">B119/B120-1</f>
        <v>-0.0264446621</v>
      </c>
      <c r="I119" s="8">
        <f t="shared" si="246"/>
        <v>-0.004518820141</v>
      </c>
      <c r="J119" s="7"/>
      <c r="L119" s="6"/>
      <c r="M119" s="6"/>
    </row>
    <row r="120">
      <c r="A120" s="4">
        <v>45917.0</v>
      </c>
      <c r="B120" s="5">
        <v>10.21</v>
      </c>
      <c r="C120" s="5">
        <v>201.38</v>
      </c>
      <c r="D120" s="4"/>
      <c r="E120" s="6">
        <f t="shared" ref="E120:F120" si="247">(B120-B121)/B121</f>
        <v>0.1446188341</v>
      </c>
      <c r="F120" s="6">
        <f t="shared" si="247"/>
        <v>0.0130797867</v>
      </c>
      <c r="G120" s="7"/>
      <c r="H120" s="8">
        <f t="shared" ref="H120:I120" si="248">B120/B121-1</f>
        <v>0.1446188341</v>
      </c>
      <c r="I120" s="8">
        <f t="shared" si="248"/>
        <v>0.0130797867</v>
      </c>
      <c r="J120" s="7"/>
      <c r="L120" s="6"/>
      <c r="M120" s="6"/>
    </row>
    <row r="121">
      <c r="A121" s="4">
        <v>45916.0</v>
      </c>
      <c r="B121" s="5">
        <v>8.92</v>
      </c>
      <c r="C121" s="5">
        <v>198.78</v>
      </c>
      <c r="D121" s="4"/>
      <c r="E121" s="6">
        <f t="shared" ref="E121:F121" si="249">(B121-B122)/B122</f>
        <v>-0.06006322445</v>
      </c>
      <c r="F121" s="6">
        <f t="shared" si="249"/>
        <v>0.007603406326</v>
      </c>
      <c r="G121" s="7"/>
      <c r="H121" s="8">
        <f t="shared" ref="H121:I121" si="250">B121/B122-1</f>
        <v>-0.06006322445</v>
      </c>
      <c r="I121" s="8">
        <f t="shared" si="250"/>
        <v>0.007603406326</v>
      </c>
      <c r="J121" s="7"/>
      <c r="L121" s="6"/>
      <c r="M121" s="6"/>
    </row>
    <row r="122">
      <c r="A122" s="4">
        <v>45915.0</v>
      </c>
      <c r="B122" s="5">
        <v>9.49</v>
      </c>
      <c r="C122" s="5">
        <v>197.28</v>
      </c>
      <c r="D122" s="4"/>
      <c r="E122" s="6">
        <f t="shared" ref="E122:F122" si="251">(B122-B123)/B123</f>
        <v>0.04630650496</v>
      </c>
      <c r="F122" s="6">
        <f t="shared" si="251"/>
        <v>0.005863457911</v>
      </c>
      <c r="G122" s="7"/>
      <c r="H122" s="8">
        <f t="shared" ref="H122:I122" si="252">B122/B123-1</f>
        <v>0.04630650496</v>
      </c>
      <c r="I122" s="8">
        <f t="shared" si="252"/>
        <v>0.005863457911</v>
      </c>
      <c r="J122" s="7"/>
      <c r="L122" s="6"/>
      <c r="M122" s="6"/>
    </row>
    <row r="123">
      <c r="A123" s="4">
        <v>45912.0</v>
      </c>
      <c r="B123" s="5">
        <v>9.07</v>
      </c>
      <c r="C123" s="5">
        <v>196.13</v>
      </c>
      <c r="D123" s="4"/>
      <c r="E123" s="6">
        <f t="shared" ref="E123:F123" si="253">(B123-B124)/B124</f>
        <v>-0.1378326996</v>
      </c>
      <c r="F123" s="6">
        <f t="shared" si="253"/>
        <v>-0.007589940798</v>
      </c>
      <c r="G123" s="7"/>
      <c r="H123" s="8">
        <f t="shared" ref="H123:I123" si="254">B123/B124-1</f>
        <v>-0.1378326996</v>
      </c>
      <c r="I123" s="8">
        <f t="shared" si="254"/>
        <v>-0.007589940798</v>
      </c>
      <c r="J123" s="7"/>
      <c r="L123" s="6"/>
      <c r="M123" s="6"/>
    </row>
    <row r="124">
      <c r="A124" s="4">
        <v>45911.0</v>
      </c>
      <c r="B124" s="5">
        <v>10.52</v>
      </c>
      <c r="C124" s="5">
        <v>197.63</v>
      </c>
      <c r="D124" s="4"/>
      <c r="E124" s="6">
        <f t="shared" ref="E124:F124" si="255">(B124-B125)/B125</f>
        <v>0.795221843</v>
      </c>
      <c r="F124" s="6">
        <f t="shared" si="255"/>
        <v>0.00126659236</v>
      </c>
      <c r="G124" s="7"/>
      <c r="H124" s="8">
        <f t="shared" ref="H124:I124" si="256">B124/B125-1</f>
        <v>0.795221843</v>
      </c>
      <c r="I124" s="8">
        <f t="shared" si="256"/>
        <v>0.00126659236</v>
      </c>
      <c r="J124" s="7"/>
      <c r="L124" s="6"/>
      <c r="M124" s="6"/>
    </row>
    <row r="125">
      <c r="A125" s="4">
        <v>45910.0</v>
      </c>
      <c r="B125" s="5">
        <v>5.86</v>
      </c>
      <c r="C125" s="5">
        <v>197.38</v>
      </c>
      <c r="D125" s="4"/>
      <c r="E125" s="6">
        <f t="shared" ref="E125:F125" si="257">(B125-B126)/B126</f>
        <v>-0.04091653028</v>
      </c>
      <c r="F125" s="6">
        <f t="shared" si="257"/>
        <v>-0.01703187251</v>
      </c>
      <c r="G125" s="7"/>
      <c r="H125" s="8">
        <f t="shared" ref="H125:I125" si="258">B125/B126-1</f>
        <v>-0.04091653028</v>
      </c>
      <c r="I125" s="8">
        <f t="shared" si="258"/>
        <v>-0.01703187251</v>
      </c>
      <c r="J125" s="7"/>
      <c r="L125" s="6"/>
      <c r="M125" s="6"/>
    </row>
    <row r="126">
      <c r="A126" s="4">
        <v>45909.0</v>
      </c>
      <c r="B126" s="5">
        <v>6.11</v>
      </c>
      <c r="C126" s="5">
        <v>200.8</v>
      </c>
      <c r="D126" s="4"/>
      <c r="E126" s="6">
        <f t="shared" ref="E126:F126" si="259">(B126-B127)/B127</f>
        <v>0.01158940397</v>
      </c>
      <c r="F126" s="6">
        <f t="shared" si="259"/>
        <v>-0.009813107155</v>
      </c>
      <c r="G126" s="7"/>
      <c r="H126" s="8">
        <f t="shared" ref="H126:I126" si="260">B126/B127-1</f>
        <v>0.01158940397</v>
      </c>
      <c r="I126" s="8">
        <f t="shared" si="260"/>
        <v>-0.009813107155</v>
      </c>
      <c r="J126" s="7"/>
      <c r="L126" s="6"/>
      <c r="M126" s="6"/>
    </row>
    <row r="127">
      <c r="A127" s="4">
        <v>45908.0</v>
      </c>
      <c r="B127" s="5">
        <v>6.04</v>
      </c>
      <c r="C127" s="5">
        <v>202.79</v>
      </c>
      <c r="D127" s="4"/>
      <c r="E127" s="6">
        <f t="shared" ref="E127:F127" si="261">(B127-B128)/B128</f>
        <v>-0.09172932331</v>
      </c>
      <c r="F127" s="6">
        <f t="shared" si="261"/>
        <v>0.01588017233</v>
      </c>
      <c r="G127" s="7"/>
      <c r="H127" s="8">
        <f t="shared" ref="H127:I127" si="262">B127/B128-1</f>
        <v>-0.09172932331</v>
      </c>
      <c r="I127" s="8">
        <f t="shared" si="262"/>
        <v>0.01588017233</v>
      </c>
      <c r="J127" s="7"/>
      <c r="L127" s="6"/>
      <c r="M127" s="6"/>
    </row>
    <row r="128">
      <c r="A128" s="4">
        <v>45905.0</v>
      </c>
      <c r="B128" s="5">
        <v>6.65</v>
      </c>
      <c r="C128" s="5">
        <v>199.62</v>
      </c>
      <c r="D128" s="4"/>
      <c r="E128" s="6">
        <f t="shared" ref="E128:F128" si="263">(B128-B129)/B129</f>
        <v>0.1157718121</v>
      </c>
      <c r="F128" s="6">
        <f t="shared" si="263"/>
        <v>0.01001821494</v>
      </c>
      <c r="G128" s="7"/>
      <c r="H128" s="8">
        <f t="shared" ref="H128:I128" si="264">B128/B129-1</f>
        <v>0.1157718121</v>
      </c>
      <c r="I128" s="8">
        <f t="shared" si="264"/>
        <v>0.01001821494</v>
      </c>
      <c r="J128" s="7"/>
      <c r="L128" s="6"/>
      <c r="M128" s="6"/>
    </row>
    <row r="129">
      <c r="A129" s="4">
        <v>45904.0</v>
      </c>
      <c r="B129" s="5">
        <v>5.96</v>
      </c>
      <c r="C129" s="5">
        <v>197.64</v>
      </c>
      <c r="D129" s="4"/>
      <c r="E129" s="6">
        <f t="shared" ref="E129:F129" si="265">(B129-B130)/B130</f>
        <v>0.1617933723</v>
      </c>
      <c r="F129" s="6">
        <f t="shared" si="265"/>
        <v>0.02398839438</v>
      </c>
      <c r="G129" s="7"/>
      <c r="H129" s="8">
        <f t="shared" ref="H129:I129" si="266">B129/B130-1</f>
        <v>0.1617933723</v>
      </c>
      <c r="I129" s="8">
        <f t="shared" si="266"/>
        <v>0.02398839438</v>
      </c>
      <c r="J129" s="7"/>
      <c r="L129" s="6"/>
      <c r="M129" s="6"/>
    </row>
    <row r="130">
      <c r="A130" s="4">
        <v>45903.0</v>
      </c>
      <c r="B130" s="5">
        <v>5.13</v>
      </c>
      <c r="C130" s="5">
        <v>193.01</v>
      </c>
      <c r="D130" s="4"/>
      <c r="E130" s="6">
        <f t="shared" ref="E130:F130" si="267">(B130-B131)/B131</f>
        <v>0.007858546169</v>
      </c>
      <c r="F130" s="6">
        <f t="shared" si="267"/>
        <v>-0.002893010281</v>
      </c>
      <c r="G130" s="7"/>
      <c r="H130" s="8">
        <f t="shared" ref="H130:I130" si="268">B130/B131-1</f>
        <v>0.007858546169</v>
      </c>
      <c r="I130" s="8">
        <f t="shared" si="268"/>
        <v>-0.002893010281</v>
      </c>
      <c r="J130" s="7"/>
      <c r="L130" s="6"/>
      <c r="M130" s="6"/>
    </row>
    <row r="131">
      <c r="A131" s="4">
        <v>45902.0</v>
      </c>
      <c r="B131" s="5">
        <v>5.09</v>
      </c>
      <c r="C131" s="5">
        <v>193.57</v>
      </c>
      <c r="D131" s="4"/>
      <c r="E131" s="6">
        <f t="shared" ref="E131:F131" si="269">(B131-B132)/B132</f>
        <v>0.1438202247</v>
      </c>
      <c r="F131" s="6">
        <f t="shared" si="269"/>
        <v>-0.005139538469</v>
      </c>
      <c r="G131" s="7"/>
      <c r="H131" s="8">
        <f t="shared" ref="H131:I131" si="270">B131/B132-1</f>
        <v>0.1438202247</v>
      </c>
      <c r="I131" s="8">
        <f t="shared" si="270"/>
        <v>-0.005139538469</v>
      </c>
      <c r="J131" s="7"/>
      <c r="L131" s="6"/>
      <c r="M131" s="6"/>
    </row>
    <row r="132">
      <c r="A132" s="4">
        <v>45898.0</v>
      </c>
      <c r="B132" s="5">
        <v>4.45</v>
      </c>
      <c r="C132" s="5">
        <v>194.57</v>
      </c>
      <c r="D132" s="4"/>
      <c r="E132" s="6">
        <f t="shared" ref="E132:F132" si="271">(B132-B133)/B133</f>
        <v>0.04215456674</v>
      </c>
      <c r="F132" s="6">
        <f t="shared" si="271"/>
        <v>-0.01856242119</v>
      </c>
      <c r="G132" s="7"/>
      <c r="H132" s="8">
        <f t="shared" ref="H132:I132" si="272">B132/B133-1</f>
        <v>0.04215456674</v>
      </c>
      <c r="I132" s="8">
        <f t="shared" si="272"/>
        <v>-0.01856242119</v>
      </c>
      <c r="J132" s="7"/>
      <c r="L132" s="6"/>
      <c r="M132" s="6"/>
    </row>
    <row r="133">
      <c r="A133" s="4">
        <v>45897.0</v>
      </c>
      <c r="B133" s="5">
        <v>4.27</v>
      </c>
      <c r="C133" s="5">
        <v>198.25</v>
      </c>
      <c r="D133" s="4"/>
      <c r="E133" s="6">
        <f t="shared" ref="E133:F133" si="273">(B133-B134)/B134</f>
        <v>0.06218905473</v>
      </c>
      <c r="F133" s="6">
        <f t="shared" si="273"/>
        <v>0.007675104198</v>
      </c>
      <c r="G133" s="7"/>
      <c r="H133" s="8">
        <f t="shared" ref="H133:I133" si="274">B133/B134-1</f>
        <v>0.06218905473</v>
      </c>
      <c r="I133" s="8">
        <f t="shared" si="274"/>
        <v>0.007675104198</v>
      </c>
      <c r="J133" s="7"/>
      <c r="L133" s="6"/>
      <c r="M133" s="6"/>
    </row>
    <row r="134">
      <c r="A134" s="4">
        <v>45896.0</v>
      </c>
      <c r="B134" s="5">
        <v>4.02</v>
      </c>
      <c r="C134" s="5">
        <v>196.74</v>
      </c>
      <c r="D134" s="4"/>
      <c r="E134" s="6">
        <f t="shared" ref="E134:F134" si="275">(B134-B135)/B135</f>
        <v>-0.1446808511</v>
      </c>
      <c r="F134" s="6">
        <f t="shared" si="275"/>
        <v>-0.003090955156</v>
      </c>
      <c r="G134" s="7"/>
      <c r="H134" s="8">
        <f t="shared" ref="H134:I134" si="276">B134/B135-1</f>
        <v>-0.1446808511</v>
      </c>
      <c r="I134" s="8">
        <f t="shared" si="276"/>
        <v>-0.003090955156</v>
      </c>
      <c r="J134" s="7"/>
      <c r="L134" s="6"/>
      <c r="M134" s="6"/>
    </row>
    <row r="135">
      <c r="A135" s="4">
        <v>45895.0</v>
      </c>
      <c r="B135" s="5">
        <v>4.7</v>
      </c>
      <c r="C135" s="5">
        <v>197.35</v>
      </c>
      <c r="D135" s="4"/>
      <c r="E135" s="6">
        <f t="shared" ref="E135:F135" si="277">(B135-B136)/B136</f>
        <v>0.03524229075</v>
      </c>
      <c r="F135" s="6">
        <f t="shared" si="277"/>
        <v>-0.005141906538</v>
      </c>
      <c r="G135" s="7"/>
      <c r="H135" s="8">
        <f t="shared" ref="H135:I135" si="278">B135/B136-1</f>
        <v>0.03524229075</v>
      </c>
      <c r="I135" s="8">
        <f t="shared" si="278"/>
        <v>-0.005141906538</v>
      </c>
      <c r="J135" s="7"/>
      <c r="L135" s="6"/>
      <c r="M135" s="6"/>
    </row>
    <row r="136">
      <c r="A136" s="4">
        <v>45894.0</v>
      </c>
      <c r="B136" s="5">
        <v>4.54</v>
      </c>
      <c r="C136" s="5">
        <v>198.37</v>
      </c>
      <c r="D136" s="4"/>
      <c r="E136" s="6">
        <f t="shared" ref="E136:F136" si="279">(B136-B137)/B137</f>
        <v>-0.09381237525</v>
      </c>
      <c r="F136" s="6">
        <f t="shared" si="279"/>
        <v>-0.01489794905</v>
      </c>
      <c r="G136" s="7"/>
      <c r="H136" s="8">
        <f t="shared" ref="H136:I136" si="280">B136/B137-1</f>
        <v>-0.09381237525</v>
      </c>
      <c r="I136" s="8">
        <f t="shared" si="280"/>
        <v>-0.01489794905</v>
      </c>
      <c r="J136" s="7"/>
      <c r="L136" s="6"/>
      <c r="M136" s="6"/>
    </row>
    <row r="137">
      <c r="A137" s="4">
        <v>45891.0</v>
      </c>
      <c r="B137" s="5">
        <v>5.01</v>
      </c>
      <c r="C137" s="5">
        <v>201.37</v>
      </c>
      <c r="D137" s="4"/>
      <c r="E137" s="6">
        <f t="shared" ref="E137:F137" si="281">(B137-B138)/B138</f>
        <v>0.3916666667</v>
      </c>
      <c r="F137" s="6">
        <f t="shared" si="281"/>
        <v>0.02078369747</v>
      </c>
      <c r="G137" s="7"/>
      <c r="H137" s="8">
        <f t="shared" ref="H137:I137" si="282">B137/B138-1</f>
        <v>0.3916666667</v>
      </c>
      <c r="I137" s="8">
        <f t="shared" si="282"/>
        <v>0.02078369747</v>
      </c>
      <c r="J137" s="7"/>
      <c r="L137" s="6"/>
      <c r="M137" s="6"/>
    </row>
    <row r="138">
      <c r="A138" s="4">
        <v>45890.0</v>
      </c>
      <c r="B138" s="5">
        <v>3.6</v>
      </c>
      <c r="C138" s="5">
        <v>197.27</v>
      </c>
      <c r="D138" s="4"/>
      <c r="E138" s="6">
        <f t="shared" ref="E138:F138" si="283">(B138-B139)/B139</f>
        <v>0.1180124224</v>
      </c>
      <c r="F138" s="6">
        <f t="shared" si="283"/>
        <v>-0.009639038104</v>
      </c>
      <c r="G138" s="7"/>
      <c r="H138" s="8">
        <f t="shared" ref="H138:I138" si="284">B138/B139-1</f>
        <v>0.1180124224</v>
      </c>
      <c r="I138" s="8">
        <f t="shared" si="284"/>
        <v>-0.009639038104</v>
      </c>
      <c r="J138" s="7"/>
      <c r="L138" s="6"/>
      <c r="M138" s="6"/>
    </row>
    <row r="139">
      <c r="A139" s="4">
        <v>45889.0</v>
      </c>
      <c r="B139" s="5">
        <v>3.22</v>
      </c>
      <c r="C139" s="5">
        <v>199.19</v>
      </c>
      <c r="D139" s="4"/>
      <c r="E139" s="6">
        <f t="shared" ref="E139:F139" si="285">(B139-B140)/B140</f>
        <v>-0.1104972376</v>
      </c>
      <c r="F139" s="6">
        <f t="shared" si="285"/>
        <v>0.002970795569</v>
      </c>
      <c r="G139" s="7"/>
      <c r="H139" s="8">
        <f t="shared" ref="H139:I139" si="286">B139/B140-1</f>
        <v>-0.1104972376</v>
      </c>
      <c r="I139" s="8">
        <f t="shared" si="286"/>
        <v>0.002970795569</v>
      </c>
      <c r="J139" s="7"/>
      <c r="L139" s="6"/>
      <c r="M139" s="6"/>
    </row>
    <row r="140">
      <c r="A140" s="4">
        <v>45888.0</v>
      </c>
      <c r="B140" s="5">
        <v>3.62</v>
      </c>
      <c r="C140" s="5">
        <v>198.6</v>
      </c>
      <c r="D140" s="4"/>
      <c r="E140" s="6">
        <f t="shared" ref="E140:F140" si="287">(B140-B141)/B141</f>
        <v>-0.04232804233</v>
      </c>
      <c r="F140" s="6">
        <f t="shared" si="287"/>
        <v>0.003892230703</v>
      </c>
      <c r="G140" s="7"/>
      <c r="H140" s="8">
        <f t="shared" ref="H140:I140" si="288">B140/B141-1</f>
        <v>-0.04232804233</v>
      </c>
      <c r="I140" s="8">
        <f t="shared" si="288"/>
        <v>0.003892230703</v>
      </c>
      <c r="J140" s="7"/>
      <c r="L140" s="6"/>
      <c r="M140" s="6"/>
    </row>
    <row r="141">
      <c r="A141" s="4">
        <v>45887.0</v>
      </c>
      <c r="B141" s="5">
        <v>3.78</v>
      </c>
      <c r="C141" s="5">
        <v>197.83</v>
      </c>
      <c r="D141" s="4"/>
      <c r="E141" s="6">
        <f t="shared" ref="E141:F141" si="289">(B141-B142)/B142</f>
        <v>0.1924290221</v>
      </c>
      <c r="F141" s="6">
        <f t="shared" si="289"/>
        <v>0.02153258288</v>
      </c>
      <c r="G141" s="7"/>
      <c r="H141" s="8">
        <f t="shared" ref="H141:I141" si="290">B141/B142-1</f>
        <v>0.1924290221</v>
      </c>
      <c r="I141" s="8">
        <f t="shared" si="290"/>
        <v>0.02153258288</v>
      </c>
      <c r="J141" s="7"/>
      <c r="L141" s="6"/>
      <c r="M141" s="6"/>
    </row>
    <row r="142">
      <c r="A142" s="4">
        <v>45884.0</v>
      </c>
      <c r="B142" s="5">
        <v>3.17</v>
      </c>
      <c r="C142" s="5">
        <v>193.66</v>
      </c>
      <c r="D142" s="4"/>
      <c r="E142" s="6">
        <f t="shared" ref="E142:F142" si="291">(B142-B143)/B143</f>
        <v>0.04276315789</v>
      </c>
      <c r="F142" s="6">
        <f t="shared" si="291"/>
        <v>0.006130507066</v>
      </c>
      <c r="G142" s="7"/>
      <c r="H142" s="8">
        <f t="shared" ref="H142:I142" si="292">B142/B143-1</f>
        <v>0.04276315789</v>
      </c>
      <c r="I142" s="8">
        <f t="shared" si="292"/>
        <v>0.006130507066</v>
      </c>
      <c r="J142" s="7"/>
      <c r="L142" s="6"/>
      <c r="M142" s="6"/>
    </row>
    <row r="143">
      <c r="A143" s="4">
        <v>45883.0</v>
      </c>
      <c r="B143" s="5">
        <v>3.04</v>
      </c>
      <c r="C143" s="5">
        <v>192.48</v>
      </c>
      <c r="D143" s="4"/>
      <c r="E143" s="6">
        <f t="shared" ref="E143:F143" si="293">(B143-B144)/B144</f>
        <v>0.2561983471</v>
      </c>
      <c r="F143" s="6">
        <f t="shared" si="293"/>
        <v>-0.00987654321</v>
      </c>
      <c r="G143" s="7"/>
      <c r="H143" s="8">
        <f t="shared" ref="H143:I143" si="294">B143/B144-1</f>
        <v>0.2561983471</v>
      </c>
      <c r="I143" s="8">
        <f t="shared" si="294"/>
        <v>-0.00987654321</v>
      </c>
      <c r="J143" s="7"/>
      <c r="L143" s="6"/>
      <c r="M143" s="6"/>
    </row>
    <row r="144">
      <c r="A144" s="4">
        <v>45882.0</v>
      </c>
      <c r="B144" s="5">
        <v>2.42</v>
      </c>
      <c r="C144" s="5">
        <v>194.4</v>
      </c>
      <c r="D144" s="4"/>
      <c r="E144" s="6">
        <f t="shared" ref="E144:F144" si="295">(B144-B145)/B145</f>
        <v>-0.02024291498</v>
      </c>
      <c r="F144" s="6">
        <f t="shared" si="295"/>
        <v>0.002216837655</v>
      </c>
      <c r="G144" s="7"/>
      <c r="H144" s="8">
        <f t="shared" ref="H144:I144" si="296">B144/B145-1</f>
        <v>-0.02024291498</v>
      </c>
      <c r="I144" s="8">
        <f t="shared" si="296"/>
        <v>0.002216837655</v>
      </c>
      <c r="J144" s="7"/>
      <c r="L144" s="6"/>
      <c r="M144" s="6"/>
    </row>
    <row r="145">
      <c r="A145" s="4">
        <v>45881.0</v>
      </c>
      <c r="B145" s="5">
        <v>2.47</v>
      </c>
      <c r="C145" s="5">
        <v>193.97</v>
      </c>
      <c r="D145" s="4"/>
      <c r="E145" s="6">
        <f t="shared" ref="E145:F145" si="297">(B145-B146)/B146</f>
        <v>0.06926406926</v>
      </c>
      <c r="F145" s="6">
        <f t="shared" si="297"/>
        <v>0.02559086343</v>
      </c>
      <c r="G145" s="7"/>
      <c r="H145" s="8">
        <f t="shared" ref="H145:I145" si="298">B145/B146-1</f>
        <v>0.06926406926</v>
      </c>
      <c r="I145" s="8">
        <f t="shared" si="298"/>
        <v>0.02559086343</v>
      </c>
      <c r="J145" s="7"/>
      <c r="L145" s="6"/>
      <c r="M145" s="6"/>
    </row>
    <row r="146">
      <c r="A146" s="4">
        <v>45880.0</v>
      </c>
      <c r="B146" s="5">
        <v>2.31</v>
      </c>
      <c r="C146" s="5">
        <v>189.13</v>
      </c>
      <c r="D146" s="4"/>
      <c r="E146" s="6">
        <f t="shared" ref="E146:F146" si="299">(B146-B147)/B147</f>
        <v>0.1846153846</v>
      </c>
      <c r="F146" s="6">
        <f t="shared" si="299"/>
        <v>0.002597540288</v>
      </c>
      <c r="G146" s="7"/>
      <c r="H146" s="8">
        <f t="shared" ref="H146:I146" si="300">B146/B147-1</f>
        <v>0.1846153846</v>
      </c>
      <c r="I146" s="8">
        <f t="shared" si="300"/>
        <v>0.002597540288</v>
      </c>
      <c r="J146" s="7"/>
      <c r="L146" s="6"/>
      <c r="M146" s="6"/>
    </row>
    <row r="147">
      <c r="A147" s="4">
        <v>45877.0</v>
      </c>
      <c r="B147" s="5">
        <v>1.95</v>
      </c>
      <c r="C147" s="5">
        <v>188.64</v>
      </c>
      <c r="D147" s="4"/>
      <c r="E147" s="6">
        <f t="shared" ref="E147:F147" si="301">(B147-B148)/B148</f>
        <v>0.05405405405</v>
      </c>
      <c r="F147" s="6">
        <f t="shared" si="301"/>
        <v>0.03939610998</v>
      </c>
      <c r="G147" s="7"/>
      <c r="H147" s="8">
        <f t="shared" ref="H147:I147" si="302">B147/B148-1</f>
        <v>0.05405405405</v>
      </c>
      <c r="I147" s="8">
        <f t="shared" si="302"/>
        <v>0.03939610998</v>
      </c>
      <c r="J147" s="7"/>
      <c r="L147" s="6"/>
      <c r="M147" s="6"/>
    </row>
    <row r="148">
      <c r="A148" s="4">
        <v>45876.0</v>
      </c>
      <c r="B148" s="5">
        <v>1.85</v>
      </c>
      <c r="C148" s="5">
        <v>181.49</v>
      </c>
      <c r="D148" s="4"/>
      <c r="E148" s="6">
        <f t="shared" ref="E148:F148" si="303">(B148-B149)/B149</f>
        <v>-0.02631578947</v>
      </c>
      <c r="F148" s="6">
        <f t="shared" si="303"/>
        <v>-0.01358769498</v>
      </c>
      <c r="G148" s="7"/>
      <c r="H148" s="8">
        <f t="shared" ref="H148:I148" si="304">B148/B149-1</f>
        <v>-0.02631578947</v>
      </c>
      <c r="I148" s="8">
        <f t="shared" si="304"/>
        <v>-0.01358769498</v>
      </c>
      <c r="J148" s="7"/>
      <c r="L148" s="6"/>
      <c r="M148" s="6"/>
    </row>
    <row r="149">
      <c r="A149" s="4">
        <v>45875.0</v>
      </c>
      <c r="B149" s="5">
        <v>1.9</v>
      </c>
      <c r="C149" s="5">
        <v>183.99</v>
      </c>
      <c r="D149" s="4"/>
      <c r="E149" s="6">
        <f t="shared" ref="E149:F149" si="305">(B149-B150)/B150</f>
        <v>-0.246031746</v>
      </c>
      <c r="F149" s="6">
        <f t="shared" si="305"/>
        <v>0.01371900826</v>
      </c>
      <c r="G149" s="7"/>
      <c r="H149" s="8">
        <f t="shared" ref="H149:I149" si="306">B149/B150-1</f>
        <v>-0.246031746</v>
      </c>
      <c r="I149" s="8">
        <f t="shared" si="306"/>
        <v>0.01371900826</v>
      </c>
      <c r="J149" s="7"/>
      <c r="L149" s="6"/>
      <c r="M149" s="6"/>
    </row>
    <row r="150">
      <c r="A150" s="4">
        <v>45874.0</v>
      </c>
      <c r="B150" s="5">
        <v>2.52</v>
      </c>
      <c r="C150" s="5">
        <v>181.5</v>
      </c>
      <c r="D150" s="4"/>
      <c r="E150" s="6">
        <f t="shared" ref="E150:F150" si="307">(B150-B151)/B151</f>
        <v>0.0243902439</v>
      </c>
      <c r="F150" s="6">
        <f t="shared" si="307"/>
        <v>-0.004442981734</v>
      </c>
      <c r="G150" s="7"/>
      <c r="H150" s="8">
        <f t="shared" ref="H150:I150" si="308">B150/B151-1</f>
        <v>0.0243902439</v>
      </c>
      <c r="I150" s="8">
        <f t="shared" si="308"/>
        <v>-0.004442981734</v>
      </c>
      <c r="J150" s="7"/>
      <c r="L150" s="6"/>
      <c r="M150" s="6"/>
    </row>
    <row r="151">
      <c r="A151" s="4">
        <v>45873.0</v>
      </c>
      <c r="B151" s="5">
        <v>2.46</v>
      </c>
      <c r="C151" s="5">
        <v>182.31</v>
      </c>
      <c r="D151" s="4"/>
      <c r="E151" s="6">
        <f t="shared" ref="E151:F151" si="309">(B151-B152)/B152</f>
        <v>0.1714285714</v>
      </c>
      <c r="F151" s="6">
        <f t="shared" si="309"/>
        <v>0.0145806667</v>
      </c>
      <c r="G151" s="7"/>
      <c r="H151" s="8">
        <f t="shared" ref="H151:I151" si="310">B151/B152-1</f>
        <v>0.1714285714</v>
      </c>
      <c r="I151" s="8">
        <f t="shared" si="310"/>
        <v>0.0145806667</v>
      </c>
      <c r="J151" s="7"/>
      <c r="L151" s="6"/>
      <c r="M151" s="6"/>
    </row>
    <row r="152">
      <c r="A152" s="4">
        <v>45870.0</v>
      </c>
      <c r="B152" s="5">
        <v>2.1</v>
      </c>
      <c r="C152" s="5">
        <v>179.69</v>
      </c>
      <c r="D152" s="4"/>
      <c r="E152" s="6">
        <f t="shared" ref="E152:F152" si="311">(B152-B153)/B153</f>
        <v>0.1413043478</v>
      </c>
      <c r="F152" s="6">
        <f t="shared" si="311"/>
        <v>0.004023020618</v>
      </c>
      <c r="G152" s="7"/>
      <c r="H152" s="8">
        <f t="shared" ref="H152:I152" si="312">B152/B153-1</f>
        <v>0.1413043478</v>
      </c>
      <c r="I152" s="8">
        <f t="shared" si="312"/>
        <v>0.004023020618</v>
      </c>
      <c r="J152" s="7"/>
      <c r="L152" s="6"/>
      <c r="M152" s="6"/>
    </row>
    <row r="153">
      <c r="A153" s="4">
        <v>45869.0</v>
      </c>
      <c r="B153" s="5">
        <v>1.84</v>
      </c>
      <c r="C153" s="5">
        <v>178.97</v>
      </c>
      <c r="D153" s="4"/>
      <c r="E153" s="6">
        <f t="shared" ref="E153:F153" si="313">(B153-B154)/B154</f>
        <v>-0.1111111111</v>
      </c>
      <c r="F153" s="6">
        <f t="shared" si="313"/>
        <v>-0.02068399453</v>
      </c>
      <c r="G153" s="7"/>
      <c r="H153" s="8">
        <f t="shared" ref="H153:I153" si="314">B153/B154-1</f>
        <v>-0.1111111111</v>
      </c>
      <c r="I153" s="8">
        <f t="shared" si="314"/>
        <v>-0.02068399453</v>
      </c>
      <c r="J153" s="7"/>
      <c r="L153" s="6"/>
      <c r="M153" s="6"/>
    </row>
    <row r="154">
      <c r="A154" s="4">
        <v>45868.0</v>
      </c>
      <c r="B154" s="5">
        <v>2.07</v>
      </c>
      <c r="C154" s="5">
        <v>182.75</v>
      </c>
      <c r="D154" s="4"/>
      <c r="E154" s="6">
        <f t="shared" ref="E154:F154" si="315">(B154-B155)/B155</f>
        <v>0.009756097561</v>
      </c>
      <c r="F154" s="6">
        <f t="shared" si="315"/>
        <v>-0.008248765399</v>
      </c>
      <c r="G154" s="7"/>
      <c r="H154" s="8">
        <f t="shared" ref="H154:I154" si="316">B154/B155-1</f>
        <v>0.009756097561</v>
      </c>
      <c r="I154" s="8">
        <f t="shared" si="316"/>
        <v>-0.008248765399</v>
      </c>
      <c r="J154" s="7"/>
      <c r="L154" s="6"/>
      <c r="M154" s="6"/>
    </row>
    <row r="155">
      <c r="A155" s="4">
        <v>45867.0</v>
      </c>
      <c r="B155" s="5">
        <v>2.05</v>
      </c>
      <c r="C155" s="5">
        <v>184.27</v>
      </c>
      <c r="D155" s="4"/>
      <c r="E155" s="6">
        <f t="shared" ref="E155:F155" si="317">(B155-B156)/B156</f>
        <v>-0.1239316239</v>
      </c>
      <c r="F155" s="6">
        <f t="shared" si="317"/>
        <v>-0.01554653275</v>
      </c>
      <c r="G155" s="7"/>
      <c r="H155" s="8">
        <f t="shared" ref="H155:I155" si="318">B155/B156-1</f>
        <v>-0.1239316239</v>
      </c>
      <c r="I155" s="8">
        <f t="shared" si="318"/>
        <v>-0.01554653275</v>
      </c>
      <c r="J155" s="7"/>
      <c r="L155" s="6"/>
      <c r="M155" s="6"/>
    </row>
    <row r="156">
      <c r="A156" s="4">
        <v>45866.0</v>
      </c>
      <c r="B156" s="5">
        <v>2.34</v>
      </c>
      <c r="C156" s="5">
        <v>187.18</v>
      </c>
      <c r="D156" s="4"/>
      <c r="E156" s="6">
        <f t="shared" ref="E156:F156" si="319">(B156-B157)/B157</f>
        <v>-0.07874015748</v>
      </c>
      <c r="F156" s="6">
        <f t="shared" si="319"/>
        <v>-0.006949970821</v>
      </c>
      <c r="G156" s="7"/>
      <c r="H156" s="8">
        <f t="shared" ref="H156:I156" si="320">B156/B157-1</f>
        <v>-0.07874015748</v>
      </c>
      <c r="I156" s="8">
        <f t="shared" si="320"/>
        <v>-0.006949970821</v>
      </c>
      <c r="J156" s="7"/>
      <c r="L156" s="6"/>
      <c r="M156" s="6"/>
    </row>
    <row r="157">
      <c r="A157" s="4">
        <v>45863.0</v>
      </c>
      <c r="B157" s="5">
        <v>2.54</v>
      </c>
      <c r="C157" s="5">
        <v>188.49</v>
      </c>
      <c r="D157" s="4"/>
      <c r="E157" s="6">
        <f t="shared" ref="E157:F157" si="321">(B157-B158)/B158</f>
        <v>0.04958677686</v>
      </c>
      <c r="F157" s="6">
        <f t="shared" si="321"/>
        <v>-0.01653970573</v>
      </c>
      <c r="G157" s="7"/>
      <c r="H157" s="8">
        <f t="shared" ref="H157:I157" si="322">B157/B158-1</f>
        <v>0.04958677686</v>
      </c>
      <c r="I157" s="8">
        <f t="shared" si="322"/>
        <v>-0.01653970573</v>
      </c>
      <c r="J157" s="7"/>
      <c r="L157" s="6"/>
      <c r="M157" s="6"/>
    </row>
    <row r="158">
      <c r="A158" s="4">
        <v>45862.0</v>
      </c>
      <c r="B158" s="5">
        <v>2.42</v>
      </c>
      <c r="C158" s="5">
        <v>191.66</v>
      </c>
      <c r="D158" s="4"/>
      <c r="E158" s="6">
        <f t="shared" ref="E158:F158" si="323">(B158-B159)/B159</f>
        <v>0.05676855895</v>
      </c>
      <c r="F158" s="6">
        <f t="shared" si="323"/>
        <v>-0.007868309349</v>
      </c>
      <c r="G158" s="7"/>
      <c r="H158" s="8">
        <f t="shared" ref="H158:I158" si="324">B158/B159-1</f>
        <v>0.05676855895</v>
      </c>
      <c r="I158" s="8">
        <f t="shared" si="324"/>
        <v>-0.007868309349</v>
      </c>
      <c r="J158" s="7"/>
      <c r="L158" s="6"/>
      <c r="M158" s="6"/>
    </row>
    <row r="159">
      <c r="A159" s="4">
        <v>45861.0</v>
      </c>
      <c r="B159" s="5">
        <v>2.29</v>
      </c>
      <c r="C159" s="5">
        <v>193.18</v>
      </c>
      <c r="D159" s="4"/>
      <c r="E159" s="6">
        <f t="shared" ref="E159:F159" si="325">(B159-B160)/B160</f>
        <v>-0.2048611111</v>
      </c>
      <c r="F159" s="6">
        <f t="shared" si="325"/>
        <v>0.1364197894</v>
      </c>
      <c r="G159" s="7"/>
      <c r="H159" s="8">
        <f t="shared" ref="H159:I159" si="326">B159/B160-1</f>
        <v>-0.2048611111</v>
      </c>
      <c r="I159" s="8">
        <f t="shared" si="326"/>
        <v>0.1364197894</v>
      </c>
      <c r="J159" s="7"/>
      <c r="L159" s="6"/>
      <c r="M159" s="6"/>
    </row>
    <row r="160">
      <c r="A160" s="4">
        <v>45860.0</v>
      </c>
      <c r="B160" s="5">
        <v>2.88</v>
      </c>
      <c r="C160" s="5">
        <v>169.99</v>
      </c>
      <c r="D160" s="4"/>
      <c r="E160" s="6">
        <f t="shared" ref="E160:F160" si="327">(B160-B161)/B161</f>
        <v>-0.1028037383</v>
      </c>
      <c r="F160" s="6">
        <f t="shared" si="327"/>
        <v>-0.0002352526025</v>
      </c>
      <c r="G160" s="7"/>
      <c r="H160" s="8">
        <f t="shared" ref="H160:I160" si="328">B160/B161-1</f>
        <v>-0.1028037383</v>
      </c>
      <c r="I160" s="8">
        <f t="shared" si="328"/>
        <v>-0.0002352526025</v>
      </c>
      <c r="J160" s="7"/>
      <c r="L160" s="6"/>
      <c r="M160" s="6"/>
    </row>
    <row r="161">
      <c r="A161" s="4">
        <v>45859.0</v>
      </c>
      <c r="B161" s="5">
        <v>3.21</v>
      </c>
      <c r="C161" s="5">
        <v>170.03</v>
      </c>
      <c r="D161" s="4"/>
      <c r="E161" s="6">
        <f t="shared" ref="E161:F161" si="329">(B161-B162)/B162</f>
        <v>0.4266666667</v>
      </c>
      <c r="F161" s="6">
        <f t="shared" si="329"/>
        <v>0.008182626742</v>
      </c>
      <c r="G161" s="7"/>
      <c r="H161" s="8">
        <f t="shared" ref="H161:I161" si="330">B161/B162-1</f>
        <v>0.4266666667</v>
      </c>
      <c r="I161" s="8">
        <f t="shared" si="330"/>
        <v>0.008182626742</v>
      </c>
      <c r="J161" s="7"/>
      <c r="L161" s="6"/>
      <c r="M161" s="6"/>
    </row>
    <row r="162">
      <c r="A162" s="4">
        <v>45856.0</v>
      </c>
      <c r="B162" s="5">
        <v>2.25</v>
      </c>
      <c r="C162" s="5">
        <v>168.65</v>
      </c>
      <c r="D162" s="4"/>
      <c r="E162" s="6">
        <f t="shared" ref="E162:F162" si="331">(B162-B163)/B163</f>
        <v>0.3636363636</v>
      </c>
      <c r="F162" s="6">
        <f t="shared" si="331"/>
        <v>-0.010734397</v>
      </c>
      <c r="G162" s="7"/>
      <c r="H162" s="8">
        <f t="shared" ref="H162:I162" si="332">B162/B163-1</f>
        <v>0.3636363636</v>
      </c>
      <c r="I162" s="8">
        <f t="shared" si="332"/>
        <v>-0.010734397</v>
      </c>
      <c r="J162" s="7"/>
      <c r="L162" s="6"/>
      <c r="M162" s="6"/>
    </row>
    <row r="163">
      <c r="A163" s="4">
        <v>45855.0</v>
      </c>
      <c r="B163" s="5">
        <v>1.65</v>
      </c>
      <c r="C163" s="5">
        <v>170.48</v>
      </c>
      <c r="D163" s="4"/>
      <c r="E163" s="6">
        <f t="shared" ref="E163:F163" si="333">(B163-B164)/B164</f>
        <v>0.1073825503</v>
      </c>
      <c r="F163" s="6">
        <f t="shared" si="333"/>
        <v>0.003531904874</v>
      </c>
      <c r="G163" s="7"/>
      <c r="H163" s="8">
        <f t="shared" ref="H163:I163" si="334">B163/B164-1</f>
        <v>0.1073825503</v>
      </c>
      <c r="I163" s="8">
        <f t="shared" si="334"/>
        <v>0.003531904874</v>
      </c>
      <c r="J163" s="7"/>
      <c r="L163" s="6"/>
      <c r="M163" s="6"/>
    </row>
    <row r="164">
      <c r="A164" s="4">
        <v>45854.0</v>
      </c>
      <c r="B164" s="5">
        <v>1.49</v>
      </c>
      <c r="C164" s="5">
        <v>169.88</v>
      </c>
      <c r="D164" s="4"/>
      <c r="E164" s="6">
        <f t="shared" ref="E164:F164" si="335">(B164-B165)/B165</f>
        <v>0.4326923077</v>
      </c>
      <c r="F164" s="6">
        <f t="shared" si="335"/>
        <v>-0.0008234325373</v>
      </c>
      <c r="G164" s="7"/>
      <c r="H164" s="8">
        <f t="shared" ref="H164:I164" si="336">B164/B165-1</f>
        <v>0.4326923077</v>
      </c>
      <c r="I164" s="8">
        <f t="shared" si="336"/>
        <v>-0.0008234325373</v>
      </c>
      <c r="J164" s="7"/>
      <c r="L164" s="6"/>
      <c r="M164" s="6"/>
    </row>
    <row r="165">
      <c r="A165" s="4">
        <v>45853.0</v>
      </c>
      <c r="B165" s="5">
        <v>1.04</v>
      </c>
      <c r="C165" s="5">
        <v>170.02</v>
      </c>
      <c r="D165" s="4"/>
      <c r="E165" s="6">
        <f t="shared" ref="E165:F165" si="337">(B165-B166)/B166</f>
        <v>0.1555555556</v>
      </c>
      <c r="F165" s="6">
        <f t="shared" si="337"/>
        <v>-0.0123155571</v>
      </c>
      <c r="G165" s="7"/>
      <c r="H165" s="8">
        <f t="shared" ref="H165:I165" si="338">B165/B166-1</f>
        <v>0.1555555556</v>
      </c>
      <c r="I165" s="8">
        <f t="shared" si="338"/>
        <v>-0.0123155571</v>
      </c>
      <c r="J165" s="7"/>
      <c r="L165" s="6"/>
      <c r="M165" s="6"/>
    </row>
    <row r="166">
      <c r="A166" s="4">
        <v>45852.0</v>
      </c>
      <c r="B166" s="5">
        <v>0.9</v>
      </c>
      <c r="C166" s="5">
        <v>172.14</v>
      </c>
      <c r="D166" s="4"/>
      <c r="E166" s="6">
        <f t="shared" ref="E166:F166" si="339">(B166-B167)/B167</f>
        <v>0.1538461538</v>
      </c>
      <c r="F166" s="6">
        <f t="shared" si="339"/>
        <v>0.01104193586</v>
      </c>
      <c r="G166" s="7"/>
      <c r="H166" s="8">
        <f t="shared" ref="H166:I166" si="340">B166/B167-1</f>
        <v>0.1538461538</v>
      </c>
      <c r="I166" s="8">
        <f t="shared" si="340"/>
        <v>0.01104193586</v>
      </c>
      <c r="J166" s="7"/>
      <c r="L166" s="6"/>
      <c r="M166" s="6"/>
    </row>
    <row r="167">
      <c r="A167" s="4">
        <v>45849.0</v>
      </c>
      <c r="B167" s="5">
        <v>0.78</v>
      </c>
      <c r="C167" s="5">
        <v>170.26</v>
      </c>
      <c r="D167" s="4"/>
      <c r="E167" s="6">
        <f t="shared" ref="E167:F167" si="341">(B167-B168)/B168</f>
        <v>-0.1136363636</v>
      </c>
      <c r="F167" s="6">
        <f t="shared" si="341"/>
        <v>-0.0007629555725</v>
      </c>
      <c r="G167" s="7"/>
      <c r="H167" s="8">
        <f t="shared" ref="H167:I167" si="342">B167/B168-1</f>
        <v>-0.1136363636</v>
      </c>
      <c r="I167" s="8">
        <f t="shared" si="342"/>
        <v>-0.0007629555725</v>
      </c>
      <c r="J167" s="7"/>
      <c r="L167" s="6"/>
      <c r="M167" s="6"/>
    </row>
    <row r="168">
      <c r="A168" s="4">
        <v>45848.0</v>
      </c>
      <c r="B168" s="5">
        <v>0.88</v>
      </c>
      <c r="C168" s="5">
        <v>170.39</v>
      </c>
      <c r="D168" s="4"/>
      <c r="E168" s="6">
        <f t="shared" ref="E168:F168" si="343">(B168-B169)/B169</f>
        <v>0.1891891892</v>
      </c>
      <c r="F168" s="6">
        <f t="shared" si="343"/>
        <v>-0.0008795590477</v>
      </c>
      <c r="G168" s="7"/>
      <c r="H168" s="8">
        <f t="shared" ref="H168:I168" si="344">B168/B169-1</f>
        <v>0.1891891892</v>
      </c>
      <c r="I168" s="8">
        <f t="shared" si="344"/>
        <v>-0.0008795590477</v>
      </c>
      <c r="J168" s="7"/>
      <c r="L168" s="6"/>
      <c r="M168" s="6"/>
    </row>
    <row r="169">
      <c r="A169" s="4">
        <v>45847.0</v>
      </c>
      <c r="B169" s="5">
        <v>0.74</v>
      </c>
      <c r="C169" s="5">
        <v>170.54</v>
      </c>
      <c r="D169" s="4"/>
      <c r="E169" s="6">
        <f t="shared" ref="E169:F169" si="345">(B169-B170)/B170</f>
        <v>0.01369863014</v>
      </c>
      <c r="F169" s="6">
        <f t="shared" si="345"/>
        <v>0.001997649824</v>
      </c>
      <c r="G169" s="7"/>
      <c r="H169" s="8">
        <f t="shared" ref="H169:I169" si="346">B169/B170-1</f>
        <v>0.01369863014</v>
      </c>
      <c r="I169" s="8">
        <f t="shared" si="346"/>
        <v>0.001997649824</v>
      </c>
      <c r="J169" s="7"/>
      <c r="L169" s="6"/>
      <c r="M169" s="6"/>
    </row>
    <row r="170">
      <c r="A170" s="4">
        <v>45846.0</v>
      </c>
      <c r="B170" s="5">
        <v>0.73</v>
      </c>
      <c r="C170" s="5">
        <v>170.2</v>
      </c>
      <c r="D170" s="4"/>
      <c r="E170" s="6">
        <f t="shared" ref="E170:F170" si="347">(B170-B171)/B171</f>
        <v>0.1587301587</v>
      </c>
      <c r="F170" s="6">
        <f t="shared" si="347"/>
        <v>0.01394018825</v>
      </c>
      <c r="G170" s="7"/>
      <c r="H170" s="8">
        <f t="shared" ref="H170:I170" si="348">B170/B171-1</f>
        <v>0.1587301587</v>
      </c>
      <c r="I170" s="8">
        <f t="shared" si="348"/>
        <v>0.01394018825</v>
      </c>
      <c r="J170" s="7"/>
      <c r="L170" s="6"/>
      <c r="M170" s="6"/>
    </row>
    <row r="171">
      <c r="A171" s="4">
        <v>45845.0</v>
      </c>
      <c r="B171" s="5">
        <v>0.63</v>
      </c>
      <c r="C171" s="5">
        <v>167.86</v>
      </c>
      <c r="D171" s="4"/>
      <c r="E171" s="6">
        <f t="shared" ref="E171:F171" si="349">(B171-B172)/B172</f>
        <v>0.03278688525</v>
      </c>
      <c r="F171" s="6">
        <f t="shared" si="349"/>
        <v>-0.04019669507</v>
      </c>
      <c r="G171" s="7"/>
      <c r="H171" s="8">
        <f t="shared" ref="H171:I171" si="350">B171/B172-1</f>
        <v>0.03278688525</v>
      </c>
      <c r="I171" s="8">
        <f t="shared" si="350"/>
        <v>-0.04019669507</v>
      </c>
      <c r="J171" s="7"/>
      <c r="L171" s="6"/>
      <c r="M171" s="6"/>
    </row>
    <row r="172">
      <c r="A172" s="4">
        <v>45841.0</v>
      </c>
      <c r="B172" s="5">
        <v>0.61</v>
      </c>
      <c r="C172" s="5">
        <v>174.89</v>
      </c>
      <c r="D172" s="4"/>
      <c r="E172" s="6">
        <f t="shared" ref="E172:F172" si="351">(B172-B173)/B173</f>
        <v>0.0701754386</v>
      </c>
      <c r="F172" s="6">
        <f t="shared" si="351"/>
        <v>0.0167432126</v>
      </c>
      <c r="G172" s="7"/>
      <c r="H172" s="8">
        <f t="shared" ref="H172:I172" si="352">B172/B173-1</f>
        <v>0.0701754386</v>
      </c>
      <c r="I172" s="8">
        <f t="shared" si="352"/>
        <v>0.0167432126</v>
      </c>
      <c r="J172" s="7"/>
      <c r="L172" s="6"/>
      <c r="M172" s="6"/>
    </row>
    <row r="173">
      <c r="A173" s="4">
        <v>45840.0</v>
      </c>
      <c r="B173" s="5">
        <v>0.57</v>
      </c>
      <c r="C173" s="5">
        <v>172.01</v>
      </c>
      <c r="D173" s="4"/>
      <c r="E173" s="6">
        <f t="shared" ref="E173:F173" si="353">(B173-B174)/B174</f>
        <v>0.01785714286</v>
      </c>
      <c r="F173" s="6">
        <f t="shared" si="353"/>
        <v>0.002739885741</v>
      </c>
      <c r="G173" s="7"/>
      <c r="H173" s="8">
        <f t="shared" ref="H173:I173" si="354">B173/B174-1</f>
        <v>0.01785714286</v>
      </c>
      <c r="I173" s="8">
        <f t="shared" si="354"/>
        <v>0.002739885741</v>
      </c>
      <c r="J173" s="7"/>
      <c r="L173" s="6"/>
      <c r="M173" s="6"/>
    </row>
    <row r="174">
      <c r="A174" s="4">
        <v>45839.0</v>
      </c>
      <c r="B174" s="5">
        <v>0.56</v>
      </c>
      <c r="C174" s="5">
        <v>171.54</v>
      </c>
      <c r="D174" s="4"/>
      <c r="E174" s="6">
        <f t="shared" ref="E174:F174" si="355">(B174-B175)/B175</f>
        <v>0.05660377358</v>
      </c>
      <c r="F174" s="6">
        <f t="shared" si="355"/>
        <v>-0.004179728318</v>
      </c>
      <c r="G174" s="7"/>
      <c r="H174" s="8">
        <f t="shared" ref="H174:I174" si="356">B174/B175-1</f>
        <v>0.05660377358</v>
      </c>
      <c r="I174" s="8">
        <f t="shared" si="356"/>
        <v>-0.004179728318</v>
      </c>
      <c r="J174" s="7"/>
      <c r="L174" s="6"/>
      <c r="M174" s="6"/>
    </row>
    <row r="175">
      <c r="A175" s="4">
        <v>45838.0</v>
      </c>
      <c r="B175" s="5">
        <v>0.53</v>
      </c>
      <c r="C175" s="5">
        <v>172.26</v>
      </c>
      <c r="D175" s="4"/>
      <c r="E175" s="6">
        <f t="shared" ref="E175:F175" si="357">(B175-B176)/B176</f>
        <v>-0.05357142857</v>
      </c>
      <c r="F175" s="6">
        <f t="shared" si="357"/>
        <v>-0.0198019802</v>
      </c>
      <c r="G175" s="7"/>
      <c r="H175" s="8">
        <f t="shared" ref="H175:I175" si="358">B175/B176-1</f>
        <v>-0.05357142857</v>
      </c>
      <c r="I175" s="8">
        <f t="shared" si="358"/>
        <v>-0.0198019802</v>
      </c>
      <c r="J175" s="7"/>
      <c r="L175" s="6"/>
      <c r="M175" s="6"/>
    </row>
    <row r="176">
      <c r="A176" s="4">
        <v>45835.0</v>
      </c>
      <c r="B176" s="5">
        <v>0.56</v>
      </c>
      <c r="C176" s="5">
        <v>175.74</v>
      </c>
      <c r="D176" s="4"/>
      <c r="E176" s="6">
        <f t="shared" ref="E176:F176" si="359">(B176-B177)/B177</f>
        <v>0.03703703704</v>
      </c>
      <c r="F176" s="6">
        <f t="shared" si="359"/>
        <v>0.02994784036</v>
      </c>
      <c r="G176" s="7"/>
      <c r="H176" s="8">
        <f t="shared" ref="H176:I176" si="360">B176/B177-1</f>
        <v>0.03703703704</v>
      </c>
      <c r="I176" s="8">
        <f t="shared" si="360"/>
        <v>0.02994784036</v>
      </c>
      <c r="J176" s="7"/>
      <c r="L176" s="6"/>
      <c r="M176" s="6"/>
    </row>
    <row r="177">
      <c r="A177" s="4">
        <v>45834.0</v>
      </c>
      <c r="B177" s="5">
        <v>0.54</v>
      </c>
      <c r="C177" s="5">
        <v>170.63</v>
      </c>
      <c r="D177" s="4"/>
      <c r="E177" s="6">
        <f t="shared" ref="E177:F177" si="361">(B177-B178)/B178</f>
        <v>0.05882352941</v>
      </c>
      <c r="F177" s="6">
        <f t="shared" si="361"/>
        <v>0.008749630505</v>
      </c>
      <c r="G177" s="7"/>
      <c r="H177" s="8">
        <f t="shared" ref="H177:I177" si="362">B177/B178-1</f>
        <v>0.05882352941</v>
      </c>
      <c r="I177" s="8">
        <f t="shared" si="362"/>
        <v>0.008749630505</v>
      </c>
      <c r="J177" s="7"/>
      <c r="L177" s="6"/>
      <c r="M177" s="6"/>
    </row>
    <row r="178">
      <c r="A178" s="4">
        <v>45833.0</v>
      </c>
      <c r="B178" s="5">
        <v>0.51</v>
      </c>
      <c r="C178" s="5">
        <v>169.15</v>
      </c>
      <c r="D178" s="4"/>
      <c r="E178" s="6">
        <f t="shared" ref="E178:F178" si="363">(B178-B179)/B179</f>
        <v>-0.07272727273</v>
      </c>
      <c r="F178" s="6">
        <f t="shared" si="363"/>
        <v>-0.0141624898</v>
      </c>
      <c r="G178" s="7"/>
      <c r="H178" s="8">
        <f t="shared" ref="H178:I178" si="364">B178/B179-1</f>
        <v>-0.07272727273</v>
      </c>
      <c r="I178" s="8">
        <f t="shared" si="364"/>
        <v>-0.0141624898</v>
      </c>
      <c r="J178" s="7"/>
      <c r="L178" s="6"/>
      <c r="M178" s="6"/>
    </row>
    <row r="179">
      <c r="A179" s="4">
        <v>45832.0</v>
      </c>
      <c r="B179" s="5">
        <v>0.55</v>
      </c>
      <c r="C179" s="5">
        <v>171.58</v>
      </c>
      <c r="D179" s="4"/>
      <c r="E179" s="6">
        <f t="shared" ref="E179:F179" si="365">(B179-B180)/B180</f>
        <v>0.03773584906</v>
      </c>
      <c r="F179" s="6">
        <f t="shared" si="365"/>
        <v>0.004096441948</v>
      </c>
      <c r="G179" s="7"/>
      <c r="H179" s="8">
        <f t="shared" ref="H179:I179" si="366">B179/B180-1</f>
        <v>0.03773584906</v>
      </c>
      <c r="I179" s="8">
        <f t="shared" si="366"/>
        <v>0.004096441948</v>
      </c>
      <c r="J179" s="7"/>
      <c r="L179" s="6"/>
      <c r="M179" s="6"/>
    </row>
    <row r="180">
      <c r="A180" s="4">
        <v>45831.0</v>
      </c>
      <c r="B180" s="5">
        <v>0.53</v>
      </c>
      <c r="C180" s="5">
        <v>170.88</v>
      </c>
      <c r="D180" s="4"/>
      <c r="E180" s="6">
        <f t="shared" ref="E180:F180" si="367">(B180-B181)/B181</f>
        <v>-0.01851851852</v>
      </c>
      <c r="F180" s="6">
        <f t="shared" si="367"/>
        <v>-0.008816705336</v>
      </c>
      <c r="G180" s="7"/>
      <c r="H180" s="8">
        <f t="shared" ref="H180:I180" si="368">B180/B181-1</f>
        <v>-0.01851851852</v>
      </c>
      <c r="I180" s="8">
        <f t="shared" si="368"/>
        <v>-0.008816705336</v>
      </c>
      <c r="J180" s="7"/>
      <c r="L180" s="6"/>
      <c r="M180" s="6"/>
    </row>
    <row r="181">
      <c r="A181" s="4">
        <v>45828.0</v>
      </c>
      <c r="B181" s="5">
        <v>0.54</v>
      </c>
      <c r="C181" s="5">
        <v>172.4</v>
      </c>
      <c r="D181" s="4"/>
      <c r="E181" s="6">
        <f t="shared" ref="E181:F181" si="369">(B181-B182)/B182</f>
        <v>-0.06896551724</v>
      </c>
      <c r="F181" s="6">
        <f t="shared" si="369"/>
        <v>-0.0181673216</v>
      </c>
      <c r="G181" s="7"/>
      <c r="H181" s="8">
        <f t="shared" ref="H181:I181" si="370">B181/B182-1</f>
        <v>-0.06896551724</v>
      </c>
      <c r="I181" s="8">
        <f t="shared" si="370"/>
        <v>-0.0181673216</v>
      </c>
      <c r="J181" s="7"/>
      <c r="L181" s="6"/>
      <c r="M181" s="6"/>
    </row>
    <row r="182">
      <c r="A182" s="4">
        <v>45826.0</v>
      </c>
      <c r="B182" s="5">
        <v>0.58</v>
      </c>
      <c r="C182" s="5">
        <v>175.59</v>
      </c>
      <c r="D182" s="4"/>
      <c r="E182" s="6">
        <f t="shared" ref="E182:F182" si="371">(B182-B183)/B183</f>
        <v>0.01754385965</v>
      </c>
      <c r="F182" s="6">
        <f t="shared" si="371"/>
        <v>0.009427996551</v>
      </c>
      <c r="G182" s="7"/>
      <c r="H182" s="8">
        <f t="shared" ref="H182:I182" si="372">B182/B183-1</f>
        <v>0.01754385965</v>
      </c>
      <c r="I182" s="8">
        <f t="shared" si="372"/>
        <v>0.009427996551</v>
      </c>
      <c r="J182" s="7"/>
      <c r="L182" s="6"/>
      <c r="M182" s="6"/>
    </row>
    <row r="183">
      <c r="A183" s="4">
        <v>45825.0</v>
      </c>
      <c r="B183" s="5">
        <v>0.57</v>
      </c>
      <c r="C183" s="5">
        <v>173.95</v>
      </c>
      <c r="D183" s="4"/>
      <c r="E183" s="6">
        <f t="shared" ref="E183:F183" si="373">(B183-B184)/B184</f>
        <v>0.01785714286</v>
      </c>
      <c r="F183" s="6">
        <f t="shared" si="373"/>
        <v>-0.02093769348</v>
      </c>
      <c r="G183" s="7"/>
      <c r="H183" s="8">
        <f t="shared" ref="H183:I183" si="374">B183/B184-1</f>
        <v>0.01785714286</v>
      </c>
      <c r="I183" s="8">
        <f t="shared" si="374"/>
        <v>-0.02093769348</v>
      </c>
      <c r="J183" s="7"/>
      <c r="L183" s="6"/>
      <c r="M183" s="6"/>
    </row>
    <row r="184">
      <c r="A184" s="4">
        <v>45824.0</v>
      </c>
      <c r="B184" s="5">
        <v>0.56</v>
      </c>
      <c r="C184" s="5">
        <v>177.67</v>
      </c>
      <c r="D184" s="4"/>
      <c r="E184" s="6">
        <f t="shared" ref="E184:F184" si="375">(B184-B185)/B185</f>
        <v>-0.01754385965</v>
      </c>
      <c r="F184" s="6">
        <f t="shared" si="375"/>
        <v>-0.006041958042</v>
      </c>
      <c r="G184" s="7"/>
      <c r="H184" s="8">
        <f t="shared" ref="H184:I184" si="376">B184/B185-1</f>
        <v>-0.01754385965</v>
      </c>
      <c r="I184" s="8">
        <f t="shared" si="376"/>
        <v>-0.006041958042</v>
      </c>
      <c r="J184" s="7"/>
      <c r="L184" s="6"/>
      <c r="M184" s="6"/>
    </row>
    <row r="185">
      <c r="A185" s="4">
        <v>45821.0</v>
      </c>
      <c r="B185" s="5">
        <v>0.57</v>
      </c>
      <c r="C185" s="5">
        <v>178.75</v>
      </c>
      <c r="D185" s="4"/>
      <c r="E185" s="6">
        <f t="shared" ref="E185:F185" si="377">(B185-B186)/B186</f>
        <v>-0.05</v>
      </c>
      <c r="F185" s="6">
        <f t="shared" si="377"/>
        <v>-0.017803176</v>
      </c>
      <c r="G185" s="7"/>
      <c r="H185" s="8">
        <f t="shared" ref="H185:I185" si="378">B185/B186-1</f>
        <v>-0.05</v>
      </c>
      <c r="I185" s="8">
        <f t="shared" si="378"/>
        <v>-0.017803176</v>
      </c>
      <c r="J185" s="7"/>
      <c r="L185" s="6"/>
      <c r="M185" s="6"/>
    </row>
    <row r="186">
      <c r="A186" s="4">
        <v>45820.0</v>
      </c>
      <c r="B186" s="5">
        <v>0.6</v>
      </c>
      <c r="C186" s="5">
        <v>181.99</v>
      </c>
      <c r="D186" s="4"/>
      <c r="E186" s="6">
        <f t="shared" ref="E186:F186" si="379">(B186-B187)/B187</f>
        <v>-0.01639344262</v>
      </c>
      <c r="F186" s="6">
        <f t="shared" si="379"/>
        <v>-0.003395213844</v>
      </c>
      <c r="G186" s="7"/>
      <c r="H186" s="8">
        <f t="shared" ref="H186:I186" si="380">B186/B187-1</f>
        <v>-0.01639344262</v>
      </c>
      <c r="I186" s="8">
        <f t="shared" si="380"/>
        <v>-0.003395213844</v>
      </c>
      <c r="J186" s="7"/>
      <c r="L186" s="6"/>
      <c r="M186" s="6"/>
    </row>
    <row r="187">
      <c r="A187" s="4">
        <v>45819.0</v>
      </c>
      <c r="B187" s="5">
        <v>0.61</v>
      </c>
      <c r="C187" s="5">
        <v>182.61</v>
      </c>
      <c r="D187" s="4"/>
      <c r="E187" s="6">
        <f t="shared" ref="E187:F187" si="381">(B187-B188)/B188</f>
        <v>0.01666666667</v>
      </c>
      <c r="F187" s="6">
        <f t="shared" si="381"/>
        <v>-0.01425101215</v>
      </c>
      <c r="G187" s="7"/>
      <c r="H187" s="8">
        <f t="shared" ref="H187:I187" si="382">B187/B188-1</f>
        <v>0.01666666667</v>
      </c>
      <c r="I187" s="8">
        <f t="shared" si="382"/>
        <v>-0.01425101215</v>
      </c>
      <c r="J187" s="7"/>
      <c r="L187" s="6"/>
      <c r="M187" s="6"/>
    </row>
    <row r="188">
      <c r="A188" s="4">
        <v>45818.0</v>
      </c>
      <c r="B188" s="5">
        <v>0.6</v>
      </c>
      <c r="C188" s="5">
        <v>185.25</v>
      </c>
      <c r="D188" s="4"/>
      <c r="E188" s="6">
        <f t="shared" ref="E188:F188" si="383">(B188-B189)/B189</f>
        <v>0.05263157895</v>
      </c>
      <c r="F188" s="6">
        <f t="shared" si="383"/>
        <v>0.007121887572</v>
      </c>
      <c r="G188" s="7"/>
      <c r="H188" s="8">
        <f t="shared" ref="H188:I188" si="384">B188/B189-1</f>
        <v>0.05263157895</v>
      </c>
      <c r="I188" s="8">
        <f t="shared" si="384"/>
        <v>0.007121887572</v>
      </c>
      <c r="J188" s="7"/>
      <c r="L188" s="6"/>
      <c r="M188" s="6"/>
    </row>
    <row r="189">
      <c r="A189" s="4">
        <v>45817.0</v>
      </c>
      <c r="B189" s="5">
        <v>0.57</v>
      </c>
      <c r="C189" s="5">
        <v>183.94</v>
      </c>
      <c r="D189" s="4"/>
      <c r="E189" s="6">
        <f t="shared" ref="E189:F189" si="385">(B189-B190)/B190</f>
        <v>-0.1617647059</v>
      </c>
      <c r="F189" s="6">
        <f t="shared" si="385"/>
        <v>-0.006481581506</v>
      </c>
      <c r="G189" s="7"/>
      <c r="H189" s="8">
        <f t="shared" ref="H189:I189" si="386">B189/B190-1</f>
        <v>-0.1617647059</v>
      </c>
      <c r="I189" s="8">
        <f t="shared" si="386"/>
        <v>-0.006481581506</v>
      </c>
      <c r="J189" s="7"/>
      <c r="L189" s="6"/>
      <c r="M189" s="6"/>
    </row>
    <row r="190">
      <c r="A190" s="4">
        <v>45814.0</v>
      </c>
      <c r="B190" s="5">
        <v>0.68</v>
      </c>
      <c r="C190" s="5">
        <v>185.14</v>
      </c>
      <c r="D190" s="4"/>
      <c r="E190" s="6">
        <f t="shared" ref="E190:F190" si="387">(B190-B191)/B191</f>
        <v>0.0303030303</v>
      </c>
      <c r="F190" s="6">
        <f t="shared" si="387"/>
        <v>0.004013015184</v>
      </c>
      <c r="G190" s="7"/>
      <c r="H190" s="8">
        <f t="shared" ref="H190:I190" si="388">B190/B191-1</f>
        <v>0.0303030303</v>
      </c>
      <c r="I190" s="8">
        <f t="shared" si="388"/>
        <v>0.004013015184</v>
      </c>
      <c r="J190" s="7"/>
      <c r="L190" s="6"/>
      <c r="M190" s="6"/>
    </row>
    <row r="191">
      <c r="A191" s="4">
        <v>45813.0</v>
      </c>
      <c r="B191" s="5">
        <v>0.66</v>
      </c>
      <c r="C191" s="5">
        <v>184.4</v>
      </c>
      <c r="D191" s="4"/>
      <c r="E191" s="6">
        <f t="shared" ref="E191:F191" si="389">(B191-B192)/B192</f>
        <v>0.04761904762</v>
      </c>
      <c r="F191" s="6">
        <f t="shared" si="389"/>
        <v>-0.01894020004</v>
      </c>
      <c r="G191" s="7"/>
      <c r="H191" s="8">
        <f t="shared" ref="H191:I191" si="390">B191/B192-1</f>
        <v>0.04761904762</v>
      </c>
      <c r="I191" s="8">
        <f t="shared" si="390"/>
        <v>-0.01894020004</v>
      </c>
      <c r="J191" s="7"/>
      <c r="L191" s="6"/>
      <c r="M191" s="6"/>
    </row>
    <row r="192">
      <c r="A192" s="4">
        <v>45812.0</v>
      </c>
      <c r="B192" s="5">
        <v>0.63</v>
      </c>
      <c r="C192" s="5">
        <v>187.96</v>
      </c>
      <c r="D192" s="4"/>
      <c r="E192" s="6">
        <f t="shared" ref="E192:F192" si="391">(B192-B193)/B193</f>
        <v>0.06779661017</v>
      </c>
      <c r="F192" s="6">
        <f t="shared" si="391"/>
        <v>-0.01797283177</v>
      </c>
      <c r="G192" s="7"/>
      <c r="H192" s="8">
        <f t="shared" ref="H192:I192" si="392">B192/B193-1</f>
        <v>0.06779661017</v>
      </c>
      <c r="I192" s="8">
        <f t="shared" si="392"/>
        <v>-0.01797283177</v>
      </c>
      <c r="J192" s="7"/>
      <c r="L192" s="6"/>
      <c r="M192" s="6"/>
    </row>
    <row r="193">
      <c r="A193" s="4">
        <v>45811.0</v>
      </c>
      <c r="B193" s="5">
        <v>0.59</v>
      </c>
      <c r="C193" s="5">
        <v>191.4</v>
      </c>
      <c r="D193" s="4"/>
      <c r="E193" s="6">
        <f t="shared" ref="E193:F193" si="393">(B193-B194)/B194</f>
        <v>-0.01666666667</v>
      </c>
      <c r="F193" s="6">
        <f t="shared" si="393"/>
        <v>0.01194882098</v>
      </c>
      <c r="G193" s="7"/>
      <c r="H193" s="8">
        <f t="shared" ref="H193:I193" si="394">B193/B194-1</f>
        <v>-0.01666666667</v>
      </c>
      <c r="I193" s="8">
        <f t="shared" si="394"/>
        <v>0.01194882098</v>
      </c>
      <c r="J193" s="7"/>
      <c r="L193" s="6"/>
      <c r="M193" s="6"/>
    </row>
    <row r="194">
      <c r="A194" s="4">
        <v>45810.0</v>
      </c>
      <c r="B194" s="5">
        <v>0.6</v>
      </c>
      <c r="C194" s="5">
        <v>189.14</v>
      </c>
      <c r="D194" s="4"/>
      <c r="E194" s="6">
        <f t="shared" ref="E194:F194" si="395">(B194-B195)/B195</f>
        <v>-0.07692307692</v>
      </c>
      <c r="F194" s="6">
        <f t="shared" si="395"/>
        <v>-0.007503804376</v>
      </c>
      <c r="G194" s="7"/>
      <c r="H194" s="8">
        <f t="shared" ref="H194:I194" si="396">B194/B195-1</f>
        <v>-0.07692307692</v>
      </c>
      <c r="I194" s="8">
        <f t="shared" si="396"/>
        <v>-0.007503804376</v>
      </c>
      <c r="J194" s="7"/>
      <c r="L194" s="6"/>
      <c r="M194" s="6"/>
    </row>
    <row r="195">
      <c r="A195" s="13">
        <v>45807.0</v>
      </c>
      <c r="B195" s="5">
        <v>0.65</v>
      </c>
      <c r="C195" s="5">
        <v>190.57</v>
      </c>
      <c r="D195" s="13"/>
      <c r="E195" s="6">
        <f t="shared" ref="E195:F195" si="397">(B195-B196)/B196</f>
        <v>-0.05797101449</v>
      </c>
      <c r="F195" s="6">
        <f t="shared" si="397"/>
        <v>0.02396432218</v>
      </c>
      <c r="G195" s="7"/>
      <c r="H195" s="8">
        <f t="shared" ref="H195:I195" si="398">B195/B196-1</f>
        <v>-0.05797101449</v>
      </c>
      <c r="I195" s="8">
        <f t="shared" si="398"/>
        <v>0.02396432218</v>
      </c>
      <c r="J195" s="7"/>
      <c r="L195" s="6"/>
      <c r="M195" s="6"/>
    </row>
    <row r="196">
      <c r="A196" s="13">
        <v>45806.0</v>
      </c>
      <c r="B196" s="5">
        <v>0.69</v>
      </c>
      <c r="C196" s="5">
        <v>186.11</v>
      </c>
      <c r="D196" s="13"/>
      <c r="E196" s="6">
        <f t="shared" ref="E196:F196" si="399">(B196-B197)/B197</f>
        <v>0.01470588235</v>
      </c>
      <c r="F196" s="6">
        <f t="shared" si="399"/>
        <v>0.01766185477</v>
      </c>
      <c r="G196" s="7"/>
      <c r="H196" s="8">
        <f t="shared" ref="H196:I196" si="400">B196/B197-1</f>
        <v>0.01470588235</v>
      </c>
      <c r="I196" s="8">
        <f t="shared" si="400"/>
        <v>0.01766185477</v>
      </c>
      <c r="J196" s="7"/>
      <c r="L196" s="6"/>
      <c r="M196" s="6"/>
    </row>
    <row r="197">
      <c r="A197" s="13">
        <v>45805.0</v>
      </c>
      <c r="B197" s="5">
        <v>0.68</v>
      </c>
      <c r="C197" s="5">
        <v>182.88</v>
      </c>
      <c r="D197" s="13"/>
      <c r="E197" s="6">
        <f t="shared" ref="E197:F197" si="401">(B197-B198)/B198</f>
        <v>-0.01449275362</v>
      </c>
      <c r="F197" s="6">
        <f t="shared" si="401"/>
        <v>-0.02035568888</v>
      </c>
      <c r="G197" s="7"/>
      <c r="H197" s="8">
        <f t="shared" ref="H197:I197" si="402">B197/B198-1</f>
        <v>-0.01449275362</v>
      </c>
      <c r="I197" s="8">
        <f t="shared" si="402"/>
        <v>-0.02035568888</v>
      </c>
      <c r="J197" s="7"/>
      <c r="L197" s="6"/>
      <c r="M197" s="6"/>
    </row>
    <row r="198">
      <c r="A198" s="13">
        <v>45804.0</v>
      </c>
      <c r="B198" s="5">
        <v>0.69</v>
      </c>
      <c r="C198" s="5">
        <v>186.68</v>
      </c>
      <c r="D198" s="13"/>
      <c r="E198" s="6">
        <f t="shared" ref="E198:F198" si="403">(B198-B199)/B199</f>
        <v>0.01470588235</v>
      </c>
      <c r="F198" s="6">
        <f t="shared" si="403"/>
        <v>0.02402633022</v>
      </c>
      <c r="G198" s="7"/>
      <c r="H198" s="8">
        <f t="shared" ref="H198:I198" si="404">B198/B199-1</f>
        <v>0.01470588235</v>
      </c>
      <c r="I198" s="8">
        <f t="shared" si="404"/>
        <v>0.02402633022</v>
      </c>
      <c r="J198" s="7"/>
      <c r="L198" s="6"/>
      <c r="M198" s="6"/>
    </row>
    <row r="199">
      <c r="A199" s="13">
        <v>45800.0</v>
      </c>
      <c r="B199" s="5">
        <v>0.68</v>
      </c>
      <c r="C199" s="5">
        <v>182.3</v>
      </c>
      <c r="D199" s="13"/>
      <c r="E199" s="6">
        <f t="shared" ref="E199:F199" si="405">(B199-B200)/B200</f>
        <v>0</v>
      </c>
      <c r="F199" s="6">
        <f t="shared" si="405"/>
        <v>-0.002844327754</v>
      </c>
      <c r="G199" s="7"/>
      <c r="H199" s="8">
        <f t="shared" ref="H199:I199" si="406">B199/B200-1</f>
        <v>0</v>
      </c>
      <c r="I199" s="8">
        <f t="shared" si="406"/>
        <v>-0.002844327754</v>
      </c>
      <c r="J199" s="7"/>
      <c r="L199" s="6"/>
      <c r="M199" s="6"/>
    </row>
    <row r="200">
      <c r="A200" s="13">
        <v>45799.0</v>
      </c>
      <c r="B200" s="5">
        <v>0.68</v>
      </c>
      <c r="C200" s="5">
        <v>182.82</v>
      </c>
      <c r="D200" s="13"/>
      <c r="E200" s="6">
        <f t="shared" ref="E200:F200" si="407">(B200-B201)/B201</f>
        <v>-0.01449275362</v>
      </c>
      <c r="F200" s="6">
        <f t="shared" si="407"/>
        <v>-0.008944543828</v>
      </c>
      <c r="G200" s="7"/>
      <c r="H200" s="8">
        <f t="shared" ref="H200:I200" si="408">B200/B201-1</f>
        <v>-0.01449275362</v>
      </c>
      <c r="I200" s="8">
        <f t="shared" si="408"/>
        <v>-0.008944543828</v>
      </c>
      <c r="J200" s="7"/>
      <c r="L200" s="6"/>
      <c r="M200" s="6"/>
    </row>
    <row r="201">
      <c r="A201" s="13">
        <v>45798.0</v>
      </c>
      <c r="B201" s="5">
        <v>0.69</v>
      </c>
      <c r="C201" s="5">
        <v>184.47</v>
      </c>
      <c r="D201" s="13"/>
      <c r="E201" s="6">
        <f t="shared" ref="E201:F201" si="409">(B201-B202)/B202</f>
        <v>-0.06756756757</v>
      </c>
      <c r="F201" s="6">
        <f t="shared" si="409"/>
        <v>-0.0101416613</v>
      </c>
      <c r="G201" s="7"/>
      <c r="H201" s="8">
        <f t="shared" ref="H201:I201" si="410">B201/B202-1</f>
        <v>-0.06756756757</v>
      </c>
      <c r="I201" s="8">
        <f t="shared" si="410"/>
        <v>-0.0101416613</v>
      </c>
      <c r="J201" s="7"/>
      <c r="L201" s="6"/>
      <c r="M201" s="6"/>
    </row>
    <row r="202">
      <c r="A202" s="13">
        <v>45797.0</v>
      </c>
      <c r="B202" s="5">
        <v>0.74</v>
      </c>
      <c r="C202" s="5">
        <v>186.36</v>
      </c>
      <c r="D202" s="13"/>
      <c r="E202" s="6">
        <f t="shared" ref="E202:F202" si="411">(B202-B203)/B203</f>
        <v>-0.06329113924</v>
      </c>
      <c r="F202" s="6">
        <f t="shared" si="411"/>
        <v>0.005611914526</v>
      </c>
      <c r="G202" s="7"/>
      <c r="H202" s="8">
        <f t="shared" ref="H202:I202" si="412">B202/B203-1</f>
        <v>-0.06329113924</v>
      </c>
      <c r="I202" s="8">
        <f t="shared" si="412"/>
        <v>0.005611914526</v>
      </c>
      <c r="J202" s="7"/>
      <c r="L202" s="6"/>
      <c r="M202" s="6"/>
    </row>
    <row r="203">
      <c r="A203" s="13">
        <v>45796.0</v>
      </c>
      <c r="B203" s="5">
        <v>0.79</v>
      </c>
      <c r="C203" s="5">
        <v>185.32</v>
      </c>
      <c r="D203" s="13"/>
      <c r="E203" s="6">
        <f t="shared" ref="E203:F203" si="413">(B203-B204)/B204</f>
        <v>0.01282051282</v>
      </c>
      <c r="F203" s="6">
        <f t="shared" si="413"/>
        <v>0.01162727223</v>
      </c>
      <c r="G203" s="7"/>
      <c r="H203" s="8">
        <f t="shared" ref="H203:I203" si="414">B203/B204-1</f>
        <v>0.01282051282</v>
      </c>
      <c r="I203" s="8">
        <f t="shared" si="414"/>
        <v>0.01162727223</v>
      </c>
      <c r="J203" s="7"/>
      <c r="L203" s="6"/>
      <c r="M203" s="6"/>
    </row>
    <row r="204">
      <c r="A204" s="13">
        <v>45793.0</v>
      </c>
      <c r="B204" s="5">
        <v>0.78</v>
      </c>
      <c r="C204" s="5">
        <v>183.19</v>
      </c>
      <c r="D204" s="13"/>
      <c r="E204" s="6">
        <f t="shared" ref="E204:F204" si="415">(B204-B205)/B205</f>
        <v>0.06849315068</v>
      </c>
      <c r="F204" s="6">
        <f t="shared" si="415"/>
        <v>-0.001417279913</v>
      </c>
      <c r="G204" s="7"/>
      <c r="H204" s="8">
        <f t="shared" ref="H204:I204" si="416">B204/B205-1</f>
        <v>0.06849315068</v>
      </c>
      <c r="I204" s="8">
        <f t="shared" si="416"/>
        <v>-0.001417279913</v>
      </c>
      <c r="J204" s="7"/>
      <c r="L204" s="6"/>
      <c r="M204" s="6"/>
    </row>
    <row r="205">
      <c r="A205" s="13">
        <v>45792.0</v>
      </c>
      <c r="B205" s="5">
        <v>0.73</v>
      </c>
      <c r="C205" s="5">
        <v>183.45</v>
      </c>
      <c r="D205" s="13"/>
      <c r="E205" s="6">
        <f t="shared" ref="E205:F205" si="417">(B205-B206)/B206</f>
        <v>-0.02666666667</v>
      </c>
      <c r="F205" s="6">
        <f t="shared" si="417"/>
        <v>-0.01898395722</v>
      </c>
      <c r="G205" s="7"/>
      <c r="H205" s="8">
        <f t="shared" ref="H205:I205" si="418">B205/B206-1</f>
        <v>-0.02666666667</v>
      </c>
      <c r="I205" s="8">
        <f t="shared" si="418"/>
        <v>-0.01898395722</v>
      </c>
      <c r="J205" s="7"/>
      <c r="L205" s="6"/>
      <c r="M205" s="6"/>
    </row>
    <row r="206">
      <c r="A206" s="13">
        <v>45791.0</v>
      </c>
      <c r="B206" s="5">
        <v>0.75</v>
      </c>
      <c r="C206" s="5">
        <v>187.0</v>
      </c>
      <c r="D206" s="13"/>
      <c r="E206" s="6">
        <f t="shared" ref="E206:F206" si="419">(B206-B207)/B207</f>
        <v>0.05633802817</v>
      </c>
      <c r="F206" s="6">
        <f t="shared" si="419"/>
        <v>-0.03593339176</v>
      </c>
      <c r="G206" s="7"/>
      <c r="H206" s="8">
        <f t="shared" ref="H206:I206" si="420">B206/B207-1</f>
        <v>0.05633802817</v>
      </c>
      <c r="I206" s="8">
        <f t="shared" si="420"/>
        <v>-0.03593339176</v>
      </c>
      <c r="J206" s="7"/>
      <c r="L206" s="6"/>
      <c r="M206" s="6"/>
    </row>
    <row r="207">
      <c r="A207" s="13">
        <v>45790.0</v>
      </c>
      <c r="B207" s="5">
        <v>0.71</v>
      </c>
      <c r="C207" s="5">
        <v>193.97</v>
      </c>
      <c r="D207" s="13"/>
      <c r="E207" s="6">
        <f t="shared" ref="E207:F207" si="421">(B207-B208)/B208</f>
        <v>0</v>
      </c>
      <c r="F207" s="6">
        <f t="shared" si="421"/>
        <v>0.008579450915</v>
      </c>
      <c r="G207" s="7"/>
      <c r="H207" s="8">
        <f t="shared" ref="H207:I207" si="422">B207/B208-1</f>
        <v>0</v>
      </c>
      <c r="I207" s="8">
        <f t="shared" si="422"/>
        <v>0.008579450915</v>
      </c>
      <c r="J207" s="7"/>
      <c r="L207" s="6"/>
      <c r="M207" s="6"/>
    </row>
    <row r="208">
      <c r="A208" s="13">
        <v>45789.0</v>
      </c>
      <c r="B208" s="5">
        <v>0.71</v>
      </c>
      <c r="C208" s="5">
        <v>192.32</v>
      </c>
      <c r="D208" s="13"/>
      <c r="E208" s="6">
        <f t="shared" ref="E208:F208" si="423">(B208-B209)/B209</f>
        <v>0.05970149254</v>
      </c>
      <c r="F208" s="6">
        <f t="shared" si="423"/>
        <v>0.02554257985</v>
      </c>
      <c r="G208" s="7"/>
      <c r="H208" s="8">
        <f t="shared" ref="H208:I208" si="424">B208/B209-1</f>
        <v>0.05970149254</v>
      </c>
      <c r="I208" s="8">
        <f t="shared" si="424"/>
        <v>0.02554257985</v>
      </c>
      <c r="J208" s="7"/>
      <c r="L208" s="6"/>
      <c r="M208" s="6"/>
    </row>
    <row r="209">
      <c r="A209" s="13">
        <v>45786.0</v>
      </c>
      <c r="B209" s="5">
        <v>0.67</v>
      </c>
      <c r="C209" s="5">
        <v>187.53</v>
      </c>
      <c r="D209" s="13"/>
      <c r="E209" s="6">
        <f t="shared" ref="E209:F209" si="425">(B209-B210)/B210</f>
        <v>-0.2298850575</v>
      </c>
      <c r="F209" s="6">
        <f t="shared" si="425"/>
        <v>-0.002075351213</v>
      </c>
      <c r="G209" s="7"/>
      <c r="H209" s="8">
        <f t="shared" ref="H209:I209" si="426">B209/B210-1</f>
        <v>-0.2298850575</v>
      </c>
      <c r="I209" s="8">
        <f t="shared" si="426"/>
        <v>-0.002075351213</v>
      </c>
      <c r="J209" s="7"/>
      <c r="L209" s="6"/>
      <c r="M209" s="6"/>
    </row>
    <row r="210">
      <c r="A210" s="13">
        <v>45785.0</v>
      </c>
      <c r="B210" s="5">
        <v>0.87</v>
      </c>
      <c r="C210" s="5">
        <v>187.92</v>
      </c>
      <c r="D210" s="13"/>
      <c r="E210" s="6">
        <f t="shared" ref="E210:F210" si="427">(B210-B211)/B211</f>
        <v>0</v>
      </c>
      <c r="F210" s="6">
        <f t="shared" si="427"/>
        <v>-0.005187930122</v>
      </c>
      <c r="G210" s="7"/>
      <c r="H210" s="8">
        <f t="shared" ref="H210:I210" si="428">B210/B211-1</f>
        <v>0</v>
      </c>
      <c r="I210" s="8">
        <f t="shared" si="428"/>
        <v>-0.005187930122</v>
      </c>
      <c r="J210" s="7"/>
      <c r="L210" s="6"/>
      <c r="M210" s="6"/>
    </row>
    <row r="211">
      <c r="A211" s="13">
        <v>45784.0</v>
      </c>
      <c r="B211" s="5">
        <v>0.87</v>
      </c>
      <c r="C211" s="5">
        <v>188.9</v>
      </c>
      <c r="D211" s="13"/>
      <c r="E211" s="6">
        <f t="shared" ref="E211:F211" si="429">(B211-B212)/B212</f>
        <v>0.2428571429</v>
      </c>
      <c r="F211" s="6">
        <f t="shared" si="429"/>
        <v>-0.018344333</v>
      </c>
      <c r="G211" s="7"/>
      <c r="H211" s="8">
        <f t="shared" ref="H211:I211" si="430">B211/B212-1</f>
        <v>0.2428571429</v>
      </c>
      <c r="I211" s="8">
        <f t="shared" si="430"/>
        <v>-0.018344333</v>
      </c>
      <c r="J211" s="7"/>
      <c r="L211" s="6"/>
      <c r="M211" s="6"/>
    </row>
    <row r="212">
      <c r="A212" s="13">
        <v>45783.0</v>
      </c>
      <c r="B212" s="5">
        <v>0.7</v>
      </c>
      <c r="C212" s="5">
        <v>192.43</v>
      </c>
      <c r="D212" s="13"/>
      <c r="E212" s="6">
        <f t="shared" ref="E212:F212" si="431">(B212-B213)/B213</f>
        <v>-0.05405405405</v>
      </c>
      <c r="F212" s="6">
        <f t="shared" si="431"/>
        <v>-0.0002597672485</v>
      </c>
      <c r="G212" s="7"/>
      <c r="H212" s="8">
        <f t="shared" ref="H212:I212" si="432">B212/B213-1</f>
        <v>-0.05405405405</v>
      </c>
      <c r="I212" s="8">
        <f t="shared" si="432"/>
        <v>-0.0002597672485</v>
      </c>
      <c r="J212" s="7"/>
      <c r="L212" s="6"/>
      <c r="M212" s="6"/>
    </row>
    <row r="213">
      <c r="A213" s="13">
        <v>45782.0</v>
      </c>
      <c r="B213" s="5">
        <v>0.74</v>
      </c>
      <c r="C213" s="5">
        <v>192.48</v>
      </c>
      <c r="D213" s="13"/>
      <c r="E213" s="6">
        <f t="shared" ref="E213:F213" si="433">(B213-B214)/B214</f>
        <v>-0.01333333333</v>
      </c>
      <c r="F213" s="6">
        <f t="shared" si="433"/>
        <v>0.001248439451</v>
      </c>
      <c r="G213" s="7"/>
      <c r="H213" s="8">
        <f t="shared" ref="H213:I213" si="434">B213/B214-1</f>
        <v>-0.01333333333</v>
      </c>
      <c r="I213" s="8">
        <f t="shared" si="434"/>
        <v>0.001248439451</v>
      </c>
      <c r="J213" s="7"/>
      <c r="L213" s="6"/>
      <c r="M213" s="6"/>
    </row>
    <row r="214">
      <c r="A214" s="13">
        <v>45779.0</v>
      </c>
      <c r="B214" s="5">
        <v>0.75</v>
      </c>
      <c r="C214" s="5">
        <v>192.24</v>
      </c>
      <c r="D214" s="13"/>
      <c r="E214" s="6">
        <f t="shared" ref="E214:F214" si="435">(B214-B215)/B215</f>
        <v>0</v>
      </c>
      <c r="F214" s="6">
        <f t="shared" si="435"/>
        <v>0.008710252912</v>
      </c>
      <c r="G214" s="7"/>
      <c r="H214" s="8">
        <f t="shared" ref="H214:I214" si="436">B214/B215-1</f>
        <v>0</v>
      </c>
      <c r="I214" s="8">
        <f t="shared" si="436"/>
        <v>0.008710252912</v>
      </c>
      <c r="J214" s="7"/>
      <c r="L214" s="6"/>
      <c r="M214" s="6"/>
    </row>
    <row r="215">
      <c r="A215" s="13">
        <v>45778.0</v>
      </c>
      <c r="B215" s="5">
        <v>0.75</v>
      </c>
      <c r="C215" s="5">
        <v>190.58</v>
      </c>
      <c r="D215" s="13"/>
      <c r="E215" s="6">
        <f t="shared" ref="E215:F215" si="437">(B215-B216)/B216</f>
        <v>-0.01315789474</v>
      </c>
      <c r="F215" s="6">
        <f t="shared" si="437"/>
        <v>-0.003346930237</v>
      </c>
      <c r="G215" s="7"/>
      <c r="H215" s="8">
        <f t="shared" ref="H215:I215" si="438">B215/B216-1</f>
        <v>-0.01315789474</v>
      </c>
      <c r="I215" s="8">
        <f t="shared" si="438"/>
        <v>-0.003346930237</v>
      </c>
      <c r="J215" s="7"/>
      <c r="L215" s="6"/>
      <c r="M215" s="6"/>
    </row>
    <row r="216">
      <c r="A216" s="4">
        <v>45777.0</v>
      </c>
      <c r="B216" s="5">
        <v>0.76</v>
      </c>
      <c r="C216" s="5">
        <v>191.22</v>
      </c>
      <c r="D216" s="4"/>
      <c r="E216" s="6">
        <f t="shared" ref="E216:F216" si="439">(B216-B217)/B217</f>
        <v>-0.01298701299</v>
      </c>
      <c r="F216" s="6">
        <f t="shared" si="439"/>
        <v>-0.02134193152</v>
      </c>
      <c r="G216" s="7"/>
      <c r="H216" s="8">
        <f t="shared" ref="H216:I216" si="440">B216/B217-1</f>
        <v>-0.01298701299</v>
      </c>
      <c r="I216" s="8">
        <f t="shared" si="440"/>
        <v>-0.02134193152</v>
      </c>
      <c r="J216" s="7"/>
      <c r="L216" s="6"/>
      <c r="M216" s="6"/>
    </row>
    <row r="217">
      <c r="A217" s="4">
        <v>45776.0</v>
      </c>
      <c r="B217" s="5">
        <v>0.77</v>
      </c>
      <c r="C217" s="5">
        <v>195.39</v>
      </c>
      <c r="D217" s="4"/>
      <c r="E217" s="6">
        <f t="shared" ref="E217:F217" si="441">(B217-B218)/B218</f>
        <v>-0.01282051282</v>
      </c>
      <c r="F217" s="6">
        <f t="shared" si="441"/>
        <v>0.01170196241</v>
      </c>
      <c r="G217" s="7"/>
      <c r="H217" s="8">
        <f t="shared" ref="H217:I217" si="442">B217/B218-1</f>
        <v>-0.01282051282</v>
      </c>
      <c r="I217" s="8">
        <f t="shared" si="442"/>
        <v>0.01170196241</v>
      </c>
      <c r="J217" s="7"/>
      <c r="L217" s="6"/>
      <c r="M217" s="6"/>
    </row>
    <row r="218">
      <c r="A218" s="4">
        <v>45775.0</v>
      </c>
      <c r="B218" s="5">
        <v>0.78</v>
      </c>
      <c r="C218" s="5">
        <v>193.13</v>
      </c>
      <c r="D218" s="4"/>
      <c r="E218" s="6">
        <f t="shared" ref="E218:F218" si="443">(B218-B219)/B219</f>
        <v>0.02631578947</v>
      </c>
      <c r="F218" s="6">
        <f t="shared" si="443"/>
        <v>0.0261410127</v>
      </c>
      <c r="G218" s="7"/>
      <c r="H218" s="8">
        <f t="shared" ref="H218:I218" si="444">B218/B219-1</f>
        <v>0.02631578947</v>
      </c>
      <c r="I218" s="8">
        <f t="shared" si="444"/>
        <v>0.0261410127</v>
      </c>
      <c r="J218" s="7"/>
      <c r="L218" s="6"/>
      <c r="M218" s="6"/>
    </row>
    <row r="219">
      <c r="A219" s="4">
        <v>45772.0</v>
      </c>
      <c r="B219" s="5">
        <v>0.76</v>
      </c>
      <c r="C219" s="5">
        <v>188.21</v>
      </c>
      <c r="D219" s="4"/>
      <c r="E219" s="6">
        <f t="shared" ref="E219:F219" si="445">(B219-B220)/B220</f>
        <v>-0.02564102564</v>
      </c>
      <c r="F219" s="6">
        <f t="shared" si="445"/>
        <v>0.008574031402</v>
      </c>
      <c r="G219" s="7"/>
      <c r="H219" s="8">
        <f t="shared" ref="H219:I219" si="446">B219/B220-1</f>
        <v>-0.02564102564</v>
      </c>
      <c r="I219" s="8">
        <f t="shared" si="446"/>
        <v>0.008574031402</v>
      </c>
      <c r="J219" s="7"/>
      <c r="L219" s="6"/>
      <c r="M219" s="6"/>
    </row>
    <row r="220">
      <c r="A220" s="4">
        <v>45771.0</v>
      </c>
      <c r="B220" s="5">
        <v>0.78</v>
      </c>
      <c r="C220" s="5">
        <v>186.61</v>
      </c>
      <c r="D220" s="4"/>
      <c r="E220" s="6">
        <f t="shared" ref="E220:F220" si="447">(B220-B221)/B221</f>
        <v>-0.07142857143</v>
      </c>
      <c r="F220" s="6">
        <f t="shared" si="447"/>
        <v>0.02855095629</v>
      </c>
      <c r="G220" s="7"/>
      <c r="H220" s="8">
        <f t="shared" ref="H220:I220" si="448">B220/B221-1</f>
        <v>-0.07142857143</v>
      </c>
      <c r="I220" s="8">
        <f t="shared" si="448"/>
        <v>0.02855095629</v>
      </c>
      <c r="J220" s="7"/>
      <c r="L220" s="6"/>
      <c r="M220" s="6"/>
    </row>
    <row r="221">
      <c r="A221" s="4">
        <v>45770.0</v>
      </c>
      <c r="B221" s="5">
        <v>0.84</v>
      </c>
      <c r="C221" s="5">
        <v>181.43</v>
      </c>
      <c r="D221" s="4"/>
      <c r="E221" s="6">
        <f t="shared" ref="E221:F221" si="449">(B221-B222)/B222</f>
        <v>-0.1515151515</v>
      </c>
      <c r="F221" s="6">
        <f t="shared" si="449"/>
        <v>0.01527700056</v>
      </c>
      <c r="G221" s="7"/>
      <c r="H221" s="8">
        <f t="shared" ref="H221:I221" si="450">B221/B222-1</f>
        <v>-0.1515151515</v>
      </c>
      <c r="I221" s="8">
        <f t="shared" si="450"/>
        <v>0.01527700056</v>
      </c>
      <c r="J221" s="7"/>
      <c r="L221" s="6"/>
      <c r="M221" s="6"/>
    </row>
    <row r="222">
      <c r="A222" s="4">
        <v>45769.0</v>
      </c>
      <c r="B222" s="5">
        <v>0.99</v>
      </c>
      <c r="C222" s="5">
        <v>178.7</v>
      </c>
      <c r="D222" s="4"/>
      <c r="E222" s="6">
        <f t="shared" ref="E222:F222" si="451">(B222-B223)/B223</f>
        <v>0.06451612903</v>
      </c>
      <c r="F222" s="6">
        <f t="shared" si="451"/>
        <v>0.02395140958</v>
      </c>
      <c r="G222" s="7"/>
      <c r="H222" s="8">
        <f t="shared" ref="H222:I222" si="452">B222/B223-1</f>
        <v>0.06451612903</v>
      </c>
      <c r="I222" s="8">
        <f t="shared" si="452"/>
        <v>0.02395140958</v>
      </c>
      <c r="J222" s="7"/>
      <c r="L222" s="6"/>
      <c r="M222" s="6"/>
    </row>
    <row r="223">
      <c r="A223" s="4">
        <v>45768.0</v>
      </c>
      <c r="B223" s="5">
        <v>0.93</v>
      </c>
      <c r="C223" s="5">
        <v>174.52</v>
      </c>
      <c r="D223" s="4"/>
      <c r="E223" s="6">
        <f t="shared" ref="E223:F223" si="453">(B223-B224)/B224</f>
        <v>-0.02105263158</v>
      </c>
      <c r="F223" s="6">
        <f t="shared" si="453"/>
        <v>-0.01054541331</v>
      </c>
      <c r="G223" s="7"/>
      <c r="H223" s="8">
        <f t="shared" ref="H223:I223" si="454">B223/B224-1</f>
        <v>-0.02105263158</v>
      </c>
      <c r="I223" s="8">
        <f t="shared" si="454"/>
        <v>-0.01054541331</v>
      </c>
      <c r="J223" s="7"/>
      <c r="L223" s="6"/>
      <c r="M223" s="6"/>
    </row>
    <row r="224">
      <c r="A224" s="4">
        <v>45764.0</v>
      </c>
      <c r="B224" s="5">
        <v>0.95</v>
      </c>
      <c r="C224" s="5">
        <v>176.38</v>
      </c>
      <c r="D224" s="4"/>
      <c r="E224" s="6">
        <f t="shared" ref="E224:F224" si="455">(B224-B225)/B225</f>
        <v>0.02150537634</v>
      </c>
      <c r="F224" s="6">
        <f t="shared" si="455"/>
        <v>0.007310108509</v>
      </c>
      <c r="G224" s="7"/>
      <c r="H224" s="8">
        <f t="shared" ref="H224:I224" si="456">B224/B225-1</f>
        <v>0.02150537634</v>
      </c>
      <c r="I224" s="8">
        <f t="shared" si="456"/>
        <v>0.007310108509</v>
      </c>
      <c r="J224" s="7"/>
      <c r="L224" s="6"/>
      <c r="M224" s="6"/>
    </row>
    <row r="225">
      <c r="A225" s="4">
        <v>45763.0</v>
      </c>
      <c r="B225" s="5">
        <v>0.93</v>
      </c>
      <c r="C225" s="5">
        <v>175.1</v>
      </c>
      <c r="D225" s="4"/>
      <c r="E225" s="6">
        <f t="shared" ref="E225:F225" si="457">(B225-B226)/B226</f>
        <v>0.01086956522</v>
      </c>
      <c r="F225" s="6">
        <f t="shared" si="457"/>
        <v>0.004935720845</v>
      </c>
      <c r="G225" s="7"/>
      <c r="H225" s="8">
        <f t="shared" ref="H225:I225" si="458">B225/B226-1</f>
        <v>0.01086956522</v>
      </c>
      <c r="I225" s="8">
        <f t="shared" si="458"/>
        <v>0.004935720845</v>
      </c>
      <c r="J225" s="7"/>
      <c r="L225" s="6"/>
      <c r="M225" s="6"/>
    </row>
    <row r="226">
      <c r="A226" s="4">
        <v>45762.0</v>
      </c>
      <c r="B226" s="5">
        <v>0.92</v>
      </c>
      <c r="C226" s="5">
        <v>174.24</v>
      </c>
      <c r="D226" s="4"/>
      <c r="E226" s="6">
        <f t="shared" ref="E226:F226" si="459">(B226-B227)/B227</f>
        <v>-0.03157894737</v>
      </c>
      <c r="F226" s="6">
        <f t="shared" si="459"/>
        <v>0.01302325581</v>
      </c>
      <c r="G226" s="7"/>
      <c r="H226" s="8">
        <f t="shared" ref="H226:I226" si="460">B226/B227-1</f>
        <v>-0.03157894737</v>
      </c>
      <c r="I226" s="8">
        <f t="shared" si="460"/>
        <v>0.01302325581</v>
      </c>
      <c r="J226" s="7"/>
      <c r="L226" s="6"/>
      <c r="M226" s="6"/>
    </row>
    <row r="227">
      <c r="A227" s="4">
        <v>45761.0</v>
      </c>
      <c r="B227" s="5">
        <v>0.95</v>
      </c>
      <c r="C227" s="5">
        <v>172.0</v>
      </c>
      <c r="D227" s="4"/>
      <c r="E227" s="6">
        <f t="shared" ref="E227:F227" si="461">(B227-B228)/B228</f>
        <v>-0.06862745098</v>
      </c>
      <c r="F227" s="6">
        <f t="shared" si="461"/>
        <v>0.0152284264</v>
      </c>
      <c r="G227" s="7"/>
      <c r="H227" s="8">
        <f t="shared" ref="H227:I227" si="462">B227/B228-1</f>
        <v>-0.06862745098</v>
      </c>
      <c r="I227" s="8">
        <f t="shared" si="462"/>
        <v>0.0152284264</v>
      </c>
      <c r="J227" s="7"/>
      <c r="L227" s="6"/>
      <c r="M227" s="6"/>
    </row>
    <row r="228">
      <c r="A228" s="4">
        <v>45758.0</v>
      </c>
      <c r="B228" s="5">
        <v>1.02</v>
      </c>
      <c r="C228" s="5">
        <v>169.42</v>
      </c>
      <c r="D228" s="4"/>
      <c r="E228" s="6">
        <f t="shared" ref="E228:F228" si="463">(B228-B229)/B229</f>
        <v>0.0303030303</v>
      </c>
      <c r="F228" s="6">
        <f t="shared" si="463"/>
        <v>0.01315632101</v>
      </c>
      <c r="G228" s="7"/>
      <c r="H228" s="8">
        <f t="shared" ref="H228:I228" si="464">B228/B229-1</f>
        <v>0.0303030303</v>
      </c>
      <c r="I228" s="8">
        <f t="shared" si="464"/>
        <v>0.01315632101</v>
      </c>
      <c r="J228" s="7"/>
      <c r="L228" s="6"/>
      <c r="M228" s="6"/>
    </row>
    <row r="229">
      <c r="A229" s="4">
        <v>45757.0</v>
      </c>
      <c r="B229" s="5">
        <v>0.99</v>
      </c>
      <c r="C229" s="5">
        <v>167.22</v>
      </c>
      <c r="D229" s="4"/>
      <c r="E229" s="6">
        <f t="shared" ref="E229:F229" si="465">(B229-B230)/B230</f>
        <v>-0.09174311927</v>
      </c>
      <c r="F229" s="6">
        <f t="shared" si="465"/>
        <v>-0.03973814173</v>
      </c>
      <c r="G229" s="7"/>
      <c r="H229" s="8">
        <f t="shared" ref="H229:I229" si="466">B229/B230-1</f>
        <v>-0.09174311927</v>
      </c>
      <c r="I229" s="8">
        <f t="shared" si="466"/>
        <v>-0.03973814173</v>
      </c>
      <c r="J229" s="7"/>
      <c r="L229" s="6"/>
      <c r="M229" s="6"/>
    </row>
    <row r="230">
      <c r="A230" s="4">
        <v>45756.0</v>
      </c>
      <c r="B230" s="5">
        <v>1.09</v>
      </c>
      <c r="C230" s="5">
        <v>174.14</v>
      </c>
      <c r="D230" s="4"/>
      <c r="E230" s="6">
        <f t="shared" ref="E230:F230" si="467">(B230-B231)/B231</f>
        <v>0.1237113402</v>
      </c>
      <c r="F230" s="6">
        <f t="shared" si="467"/>
        <v>0.09302033643</v>
      </c>
      <c r="G230" s="7"/>
      <c r="H230" s="8">
        <f t="shared" ref="H230:I230" si="468">B230/B231-1</f>
        <v>0.1237113402</v>
      </c>
      <c r="I230" s="8">
        <f t="shared" si="468"/>
        <v>0.09302033643</v>
      </c>
      <c r="J230" s="7"/>
      <c r="L230" s="6"/>
      <c r="M230" s="6"/>
    </row>
    <row r="231">
      <c r="A231" s="4">
        <v>45755.0</v>
      </c>
      <c r="B231" s="5">
        <v>0.97</v>
      </c>
      <c r="C231" s="5">
        <v>159.32</v>
      </c>
      <c r="D231" s="4"/>
      <c r="E231" s="6">
        <f t="shared" ref="E231:F231" si="469">(B231-B232)/B232</f>
        <v>-0.05825242718</v>
      </c>
      <c r="F231" s="6">
        <f t="shared" si="469"/>
        <v>-0.006361481851</v>
      </c>
      <c r="G231" s="7"/>
      <c r="H231" s="8">
        <f t="shared" ref="H231:I231" si="470">B231/B232-1</f>
        <v>-0.05825242718</v>
      </c>
      <c r="I231" s="8">
        <f t="shared" si="470"/>
        <v>-0.006361481851</v>
      </c>
      <c r="J231" s="7"/>
      <c r="L231" s="6"/>
      <c r="M231" s="6"/>
    </row>
    <row r="232">
      <c r="A232" s="4">
        <v>45754.0</v>
      </c>
      <c r="B232" s="5">
        <v>1.03</v>
      </c>
      <c r="C232" s="5">
        <v>160.34</v>
      </c>
      <c r="D232" s="4"/>
      <c r="E232" s="6">
        <f t="shared" ref="E232:F232" si="471">(B232-B233)/B233</f>
        <v>0.0404040404</v>
      </c>
      <c r="F232" s="6">
        <f t="shared" si="471"/>
        <v>0.01077980206</v>
      </c>
      <c r="G232" s="7"/>
      <c r="H232" s="8">
        <f t="shared" ref="H232:I232" si="472">B232/B233-1</f>
        <v>0.0404040404</v>
      </c>
      <c r="I232" s="8">
        <f t="shared" si="472"/>
        <v>0.01077980206</v>
      </c>
      <c r="J232" s="7"/>
      <c r="L232" s="6"/>
      <c r="M232" s="6"/>
    </row>
    <row r="233">
      <c r="A233" s="4">
        <v>45751.0</v>
      </c>
      <c r="B233" s="5">
        <v>0.99</v>
      </c>
      <c r="C233" s="5">
        <v>158.63</v>
      </c>
      <c r="D233" s="4"/>
      <c r="E233" s="6">
        <f t="shared" ref="E233:F233" si="473">(B233-B234)/B234</f>
        <v>0.03125</v>
      </c>
      <c r="F233" s="6">
        <f t="shared" si="473"/>
        <v>-0.05616707324</v>
      </c>
      <c r="G233" s="7"/>
      <c r="H233" s="8">
        <f t="shared" ref="H233:I233" si="474">B233/B234-1</f>
        <v>0.03125</v>
      </c>
      <c r="I233" s="8">
        <f t="shared" si="474"/>
        <v>-0.05616707324</v>
      </c>
      <c r="J233" s="7"/>
      <c r="L233" s="6"/>
      <c r="M233" s="6"/>
    </row>
    <row r="234">
      <c r="A234" s="4">
        <v>45750.0</v>
      </c>
      <c r="B234" s="5">
        <v>0.96</v>
      </c>
      <c r="C234" s="5">
        <v>168.07</v>
      </c>
      <c r="D234" s="4"/>
      <c r="E234" s="6">
        <f t="shared" ref="E234:F234" si="475">(B234-B235)/B235</f>
        <v>-0.0495049505</v>
      </c>
      <c r="F234" s="6">
        <f t="shared" si="475"/>
        <v>-0.05211212002</v>
      </c>
      <c r="G234" s="7"/>
      <c r="H234" s="8">
        <f t="shared" ref="H234:I234" si="476">B234/B235-1</f>
        <v>-0.0495049505</v>
      </c>
      <c r="I234" s="8">
        <f t="shared" si="476"/>
        <v>-0.05211212002</v>
      </c>
      <c r="J234" s="7"/>
      <c r="L234" s="6"/>
      <c r="M234" s="6"/>
    </row>
    <row r="235">
      <c r="A235" s="4">
        <v>45749.0</v>
      </c>
      <c r="B235" s="5">
        <v>1.01</v>
      </c>
      <c r="C235" s="5">
        <v>177.31</v>
      </c>
      <c r="D235" s="4"/>
      <c r="E235" s="6">
        <f t="shared" ref="E235:F235" si="477">(B235-B236)/B236</f>
        <v>0.01</v>
      </c>
      <c r="F235" s="6">
        <f t="shared" si="477"/>
        <v>0.01656920078</v>
      </c>
      <c r="G235" s="7"/>
      <c r="H235" s="8">
        <f t="shared" ref="H235:I235" si="478">B235/B236-1</f>
        <v>0.01</v>
      </c>
      <c r="I235" s="8">
        <f t="shared" si="478"/>
        <v>0.01656920078</v>
      </c>
      <c r="J235" s="7"/>
      <c r="L235" s="6"/>
      <c r="M235" s="6"/>
    </row>
    <row r="236">
      <c r="A236" s="4">
        <v>45748.0</v>
      </c>
      <c r="B236" s="5">
        <v>1.0</v>
      </c>
      <c r="C236" s="5">
        <v>174.42</v>
      </c>
      <c r="D236" s="4"/>
      <c r="E236" s="6">
        <f t="shared" ref="E236:F236" si="479">(B236-B237)/B237</f>
        <v>-0.01960784314</v>
      </c>
      <c r="F236" s="6">
        <f t="shared" si="479"/>
        <v>-0.01195264261</v>
      </c>
      <c r="G236" s="7"/>
      <c r="H236" s="8">
        <f t="shared" ref="H236:I236" si="480">B236/B237-1</f>
        <v>-0.01960784314</v>
      </c>
      <c r="I236" s="8">
        <f t="shared" si="480"/>
        <v>-0.01195264261</v>
      </c>
      <c r="J236" s="7"/>
      <c r="L236" s="6"/>
      <c r="M236" s="6"/>
    </row>
    <row r="237">
      <c r="A237" s="4">
        <v>45747.0</v>
      </c>
      <c r="B237" s="5">
        <v>1.02</v>
      </c>
      <c r="C237" s="5">
        <v>176.53</v>
      </c>
      <c r="D237" s="4"/>
      <c r="E237" s="6">
        <f t="shared" ref="E237:F237" si="481">(B237-B238)/B238</f>
        <v>-0.09734513274</v>
      </c>
      <c r="F237" s="6">
        <f t="shared" si="481"/>
        <v>0.005238881613</v>
      </c>
      <c r="H237" s="8">
        <f t="shared" ref="H237:I237" si="482">B237/B238-1</f>
        <v>-0.09734513274</v>
      </c>
      <c r="I237" s="8">
        <f t="shared" si="482"/>
        <v>0.005238881613</v>
      </c>
      <c r="L237" s="6"/>
      <c r="M237" s="6"/>
    </row>
    <row r="238">
      <c r="A238" s="4">
        <v>45744.0</v>
      </c>
      <c r="B238" s="5">
        <v>1.13</v>
      </c>
      <c r="C238" s="5">
        <v>175.61</v>
      </c>
      <c r="D238" s="4"/>
      <c r="E238" s="6">
        <f t="shared" ref="E238:F238" si="483">(B238-B239)/B239</f>
        <v>-0.03418803419</v>
      </c>
      <c r="F238" s="6">
        <f t="shared" si="483"/>
        <v>-0.02671396109</v>
      </c>
      <c r="G238" s="7"/>
      <c r="H238" s="8">
        <f t="shared" ref="H238:I238" si="484">B238/B239-1</f>
        <v>-0.03418803419</v>
      </c>
      <c r="I238" s="8">
        <f t="shared" si="484"/>
        <v>-0.02671396109</v>
      </c>
      <c r="J238" s="7"/>
      <c r="L238" s="6"/>
      <c r="M238" s="6"/>
    </row>
    <row r="239">
      <c r="A239" s="4">
        <v>45743.0</v>
      </c>
      <c r="B239" s="5">
        <v>1.17</v>
      </c>
      <c r="C239" s="5">
        <v>180.43</v>
      </c>
      <c r="D239" s="4"/>
      <c r="E239" s="6">
        <f t="shared" ref="E239:F239" si="485">(B239-B240)/B240</f>
        <v>-0.025</v>
      </c>
      <c r="F239" s="6">
        <f t="shared" si="485"/>
        <v>-0.02801271346</v>
      </c>
      <c r="G239" s="7"/>
      <c r="H239" s="8">
        <f t="shared" ref="H239:I239" si="486">B239/B240-1</f>
        <v>-0.025</v>
      </c>
      <c r="I239" s="8">
        <f t="shared" si="486"/>
        <v>-0.02801271346</v>
      </c>
      <c r="J239" s="7"/>
      <c r="L239" s="6"/>
      <c r="M239" s="6"/>
    </row>
    <row r="240">
      <c r="A240" s="4">
        <v>45742.0</v>
      </c>
      <c r="B240" s="5">
        <v>1.2</v>
      </c>
      <c r="C240" s="5">
        <v>185.63</v>
      </c>
      <c r="D240" s="4"/>
      <c r="E240" s="6">
        <f t="shared" ref="E240:F240" si="487">(B240-B241)/B241</f>
        <v>0</v>
      </c>
      <c r="F240" s="6">
        <f t="shared" si="487"/>
        <v>-0.01928360101</v>
      </c>
      <c r="G240" s="7"/>
      <c r="H240" s="8">
        <f t="shared" ref="H240:I240" si="488">B240/B241-1</f>
        <v>0</v>
      </c>
      <c r="I240" s="8">
        <f t="shared" si="488"/>
        <v>-0.01928360101</v>
      </c>
      <c r="J240" s="7"/>
      <c r="L240" s="6"/>
      <c r="M240" s="6"/>
    </row>
    <row r="241">
      <c r="A241" s="4">
        <v>45741.0</v>
      </c>
      <c r="B241" s="5">
        <v>1.2</v>
      </c>
      <c r="C241" s="5">
        <v>189.28</v>
      </c>
      <c r="D241" s="4"/>
      <c r="E241" s="6">
        <f t="shared" ref="E241:F241" si="489">(B241-B242)/B242</f>
        <v>-0.0243902439</v>
      </c>
      <c r="F241" s="6">
        <f t="shared" si="489"/>
        <v>0.00280794702</v>
      </c>
      <c r="G241" s="7"/>
      <c r="H241" s="8">
        <f t="shared" ref="H241:I241" si="490">B241/B242-1</f>
        <v>-0.0243902439</v>
      </c>
      <c r="I241" s="8">
        <f t="shared" si="490"/>
        <v>0.00280794702</v>
      </c>
      <c r="J241" s="7"/>
      <c r="L241" s="6"/>
      <c r="M241" s="6"/>
    </row>
    <row r="242">
      <c r="A242" s="4">
        <v>45740.0</v>
      </c>
      <c r="B242" s="5">
        <v>1.23</v>
      </c>
      <c r="C242" s="5">
        <v>188.75</v>
      </c>
      <c r="D242" s="4"/>
      <c r="E242" s="6">
        <f t="shared" ref="E242:F242" si="491">(B242-B243)/B243</f>
        <v>0.025</v>
      </c>
      <c r="F242" s="6">
        <f t="shared" si="491"/>
        <v>0.009250347556</v>
      </c>
      <c r="G242" s="7"/>
      <c r="H242" s="8">
        <f t="shared" ref="H242:I242" si="492">B242/B243-1</f>
        <v>0.025</v>
      </c>
      <c r="I242" s="8">
        <f t="shared" si="492"/>
        <v>0.009250347556</v>
      </c>
      <c r="J242" s="7"/>
      <c r="L242" s="6"/>
      <c r="M242" s="6"/>
    </row>
    <row r="243">
      <c r="A243" s="4">
        <v>45737.0</v>
      </c>
      <c r="B243" s="5">
        <v>1.2</v>
      </c>
      <c r="C243" s="5">
        <v>187.02</v>
      </c>
      <c r="D243" s="4"/>
      <c r="E243" s="6">
        <f t="shared" ref="E243:F243" si="493">(B243-B244)/B244</f>
        <v>0.008403361345</v>
      </c>
      <c r="F243" s="6">
        <f t="shared" si="493"/>
        <v>-0.007640878701</v>
      </c>
      <c r="G243" s="7"/>
      <c r="H243" s="8">
        <f t="shared" ref="H243:I243" si="494">B243/B244-1</f>
        <v>0.008403361345</v>
      </c>
      <c r="I243" s="8">
        <f t="shared" si="494"/>
        <v>-0.007640878701</v>
      </c>
      <c r="J243" s="7"/>
      <c r="L243" s="6"/>
      <c r="M243" s="6"/>
    </row>
    <row r="244">
      <c r="A244" s="4">
        <v>45736.0</v>
      </c>
      <c r="B244" s="5">
        <v>1.19</v>
      </c>
      <c r="C244" s="5">
        <v>188.46</v>
      </c>
      <c r="D244" s="4"/>
      <c r="E244" s="6">
        <f t="shared" ref="E244:F244" si="495">(B244-B245)/B245</f>
        <v>0</v>
      </c>
      <c r="F244" s="6">
        <f t="shared" si="495"/>
        <v>-0.005015574679</v>
      </c>
      <c r="G244" s="7"/>
      <c r="H244" s="8">
        <f t="shared" ref="H244:I244" si="496">B244/B245-1</f>
        <v>0</v>
      </c>
      <c r="I244" s="8">
        <f t="shared" si="496"/>
        <v>-0.005015574679</v>
      </c>
      <c r="J244" s="7"/>
      <c r="L244" s="6"/>
      <c r="M244" s="6"/>
    </row>
    <row r="245">
      <c r="A245" s="4">
        <v>45735.0</v>
      </c>
      <c r="B245" s="5">
        <v>1.19</v>
      </c>
      <c r="C245" s="5">
        <v>189.41</v>
      </c>
      <c r="D245" s="4"/>
      <c r="E245" s="6">
        <f t="shared" ref="E245:F245" si="497">(B245-B246)/B246</f>
        <v>0.0347826087</v>
      </c>
      <c r="F245" s="6">
        <f t="shared" si="497"/>
        <v>0.01543987562</v>
      </c>
      <c r="G245" s="7"/>
      <c r="H245" s="8">
        <f t="shared" ref="H245:I245" si="498">B245/B246-1</f>
        <v>0.0347826087</v>
      </c>
      <c r="I245" s="8">
        <f t="shared" si="498"/>
        <v>0.01543987562</v>
      </c>
      <c r="J245" s="7"/>
      <c r="L245" s="6"/>
      <c r="M245" s="6"/>
    </row>
    <row r="246">
      <c r="A246" s="4">
        <v>45734.0</v>
      </c>
      <c r="B246" s="5">
        <v>1.15</v>
      </c>
      <c r="C246" s="5">
        <v>186.53</v>
      </c>
      <c r="D246" s="4"/>
      <c r="E246" s="6">
        <f t="shared" ref="E246:F246" si="499">(B246-B247)/B247</f>
        <v>-0.03361344538</v>
      </c>
      <c r="F246" s="6">
        <f t="shared" si="499"/>
        <v>0.009525355848</v>
      </c>
      <c r="G246" s="7"/>
      <c r="H246" s="8">
        <f t="shared" ref="H246:I246" si="500">B246/B247-1</f>
        <v>-0.03361344538</v>
      </c>
      <c r="I246" s="8">
        <f t="shared" si="500"/>
        <v>0.009525355848</v>
      </c>
      <c r="J246" s="7"/>
      <c r="L246" s="6"/>
      <c r="M246" s="6"/>
    </row>
    <row r="247">
      <c r="A247" s="4">
        <v>45733.0</v>
      </c>
      <c r="B247" s="5">
        <v>1.19</v>
      </c>
      <c r="C247" s="5">
        <v>184.77</v>
      </c>
      <c r="D247" s="4"/>
      <c r="E247" s="6">
        <f t="shared" ref="E247:F247" si="501">(B247-B248)/B248</f>
        <v>0.04385964912</v>
      </c>
      <c r="F247" s="6">
        <f t="shared" si="501"/>
        <v>0.009286065439</v>
      </c>
      <c r="G247" s="7"/>
      <c r="H247" s="8">
        <f t="shared" ref="H247:I247" si="502">B247/B248-1</f>
        <v>0.04385964912</v>
      </c>
      <c r="I247" s="8">
        <f t="shared" si="502"/>
        <v>0.009286065439</v>
      </c>
      <c r="J247" s="7"/>
      <c r="L247" s="6"/>
      <c r="M247" s="6"/>
    </row>
    <row r="248">
      <c r="A248" s="4">
        <v>45730.0</v>
      </c>
      <c r="B248" s="5">
        <v>1.14</v>
      </c>
      <c r="C248" s="5">
        <v>183.07</v>
      </c>
      <c r="D248" s="4"/>
      <c r="E248" s="6">
        <f t="shared" ref="E248:F248" si="503">(B248-B249)/B249</f>
        <v>0.02702702703</v>
      </c>
      <c r="F248" s="6">
        <f t="shared" si="503"/>
        <v>0.02022960321</v>
      </c>
      <c r="G248" s="7"/>
      <c r="H248" s="8">
        <f t="shared" ref="H248:I248" si="504">B248/B249-1</f>
        <v>0.02702702703</v>
      </c>
      <c r="I248" s="8">
        <f t="shared" si="504"/>
        <v>0.02022960321</v>
      </c>
      <c r="J248" s="7"/>
      <c r="L248" s="6"/>
      <c r="M248" s="6"/>
    </row>
    <row r="249">
      <c r="A249" s="4">
        <v>45729.0</v>
      </c>
      <c r="B249" s="5">
        <v>1.11</v>
      </c>
      <c r="C249" s="5">
        <v>179.44</v>
      </c>
      <c r="D249" s="4"/>
      <c r="E249" s="6">
        <f t="shared" ref="E249:F249" si="505">(B249-B250)/B250</f>
        <v>-0.0826446281</v>
      </c>
      <c r="F249" s="6">
        <f t="shared" si="505"/>
        <v>-0.01444499368</v>
      </c>
      <c r="G249" s="7"/>
      <c r="H249" s="8">
        <f t="shared" ref="H249:I249" si="506">B249/B250-1</f>
        <v>-0.0826446281</v>
      </c>
      <c r="I249" s="8">
        <f t="shared" si="506"/>
        <v>-0.01444499368</v>
      </c>
      <c r="J249" s="7"/>
      <c r="L249" s="6"/>
      <c r="M249" s="6"/>
    </row>
    <row r="250">
      <c r="A250" s="4">
        <v>45728.0</v>
      </c>
      <c r="B250" s="5">
        <v>1.21</v>
      </c>
      <c r="C250" s="5">
        <v>182.07</v>
      </c>
      <c r="D250" s="4"/>
      <c r="E250" s="6">
        <f t="shared" ref="E250:F250" si="507">(B250-B251)/B251</f>
        <v>0.09009009009</v>
      </c>
      <c r="F250" s="6">
        <f t="shared" si="507"/>
        <v>0.006078355529</v>
      </c>
      <c r="G250" s="7"/>
      <c r="H250" s="8">
        <f t="shared" ref="H250:I250" si="508">B250/B251-1</f>
        <v>0.09009009009</v>
      </c>
      <c r="I250" s="8">
        <f t="shared" si="508"/>
        <v>0.006078355529</v>
      </c>
      <c r="J250" s="7"/>
      <c r="L250" s="6"/>
      <c r="M250" s="6"/>
    </row>
    <row r="251">
      <c r="A251" s="4">
        <v>45727.0</v>
      </c>
      <c r="B251" s="5">
        <v>1.11</v>
      </c>
      <c r="C251" s="5">
        <v>180.97</v>
      </c>
      <c r="D251" s="4"/>
      <c r="E251" s="6">
        <f t="shared" ref="E251:F251" si="509">(B251-B252)/B252</f>
        <v>-0.075</v>
      </c>
      <c r="F251" s="6">
        <f t="shared" si="509"/>
        <v>-0.02024795626</v>
      </c>
      <c r="G251" s="7"/>
      <c r="H251" s="8">
        <f t="shared" ref="H251:I251" si="510">B251/B252-1</f>
        <v>-0.075</v>
      </c>
      <c r="I251" s="8">
        <f t="shared" si="510"/>
        <v>-0.02024795626</v>
      </c>
      <c r="J251" s="7"/>
      <c r="L251" s="6"/>
      <c r="M251" s="6"/>
    </row>
    <row r="252">
      <c r="A252" s="4">
        <v>45726.0</v>
      </c>
      <c r="B252" s="5">
        <v>1.2</v>
      </c>
      <c r="C252" s="5">
        <v>184.71</v>
      </c>
      <c r="D252" s="4"/>
      <c r="E252" s="6"/>
      <c r="G252" s="7"/>
      <c r="H252" s="8"/>
      <c r="I252" s="8"/>
      <c r="J252" s="7"/>
      <c r="L252" s="6"/>
      <c r="M252" s="6"/>
    </row>
    <row r="253" hidden="1">
      <c r="D253" s="4"/>
      <c r="J253" s="7"/>
    </row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1">
      <filters>
        <filter val="9.28"/>
        <filter val="10.52"/>
        <filter val="9.29"/>
        <filter val="7.84"/>
        <filter val="8.56"/>
        <filter val="9.37"/>
        <filter val="4.27"/>
        <filter val="2.88"/>
        <filter val="7.97"/>
        <filter val="1"/>
        <filter val="5"/>
        <filter val="7"/>
        <filter val="7.7"/>
        <filter val="9.49"/>
        <filter val="3.62"/>
        <filter val="4.33"/>
        <filter val="5.01"/>
        <filter val="5.05"/>
        <filter val="4.38"/>
        <filter val="5.11"/>
        <filter val="4.45"/>
        <filter val="5.13"/>
        <filter val="5.15"/>
        <filter val="3.78"/>
        <filter val="9.57"/>
        <filter val="8.81"/>
        <filter val="5.08"/>
        <filter val="5.09"/>
        <filter val="6.3"/>
        <filter val="4.54"/>
        <filter val="8.92"/>
        <filter val="5.18"/>
        <filter val="6.01"/>
        <filter val="4.65"/>
        <filter val="4.69"/>
        <filter val="6.04"/>
        <filter val="6.07"/>
        <filter val="10.21"/>
        <filter val="4.63"/>
        <filter val="6.12"/>
        <filter val="4.76"/>
        <filter val="6.11"/>
        <filter val="4.78"/>
        <filter val="6.16"/>
        <filter val="1.01"/>
        <filter val="1.02"/>
        <filter val="5.41"/>
        <filter val="5.42"/>
        <filter val="4.88"/>
        <filter val="5.58"/>
        <filter val="6.27"/>
        <filter val="6.28"/>
        <filter val="1.13"/>
        <filter val="9.94"/>
        <filter val="1.11"/>
        <filter val="4.82"/>
        <filter val="1.09"/>
        <filter val="1.03"/>
        <filter val="1.04"/>
        <filter val="4.7"/>
        <filter val="4.97"/>
        <filter val="7.02"/>
        <filter val="4.98"/>
        <filter val="6.36"/>
        <filter val="7.03"/>
        <filter val="7.05"/>
        <filter val="6.39"/>
        <filter val="0.55"/>
        <filter val="1.23"/>
        <filter val="0.56"/>
        <filter val="0.53"/>
        <filter val="1.21"/>
        <filter val="0.54"/>
        <filter val="0.51"/>
        <filter val="4.94"/>
        <filter val="6.32"/>
        <filter val="1.19"/>
        <filter val="1.17"/>
        <filter val="1.14"/>
        <filter val="1.15"/>
        <filter val="5.76"/>
        <filter val="6.47"/>
        <filter val="7.15"/>
        <filter val="7.14"/>
        <filter val="6.48"/>
        <filter val="7.16"/>
        <filter val="0.66"/>
        <filter val="0.67"/>
        <filter val="0.65"/>
        <filter val="0.63"/>
        <filter val="6.43"/>
        <filter val="7.11"/>
        <filter val="6.42"/>
        <filter val="0.61"/>
        <filter val="0.59"/>
        <filter val="0.57"/>
        <filter val="0.58"/>
        <filter val="7.09"/>
        <filter val="3.6"/>
        <filter val="5.87"/>
        <filter val="6.56"/>
        <filter val="7.23"/>
        <filter val="7.27"/>
        <filter val="7.29"/>
        <filter val="0.77"/>
        <filter val="0.78"/>
        <filter val="5.81"/>
        <filter val="0.75"/>
        <filter val="0.76"/>
        <filter val="5.83"/>
        <filter val="0.73"/>
        <filter val="5.84"/>
        <filter val="0.74"/>
        <filter val="0.71"/>
        <filter val="5.86"/>
        <filter val="2.07"/>
        <filter val="2.05"/>
        <filter val="0.68"/>
        <filter val="0.69"/>
        <filter val="6.67"/>
        <filter val="7.34"/>
        <filter val="6.69"/>
        <filter val="7.37"/>
        <filter val="7.38"/>
        <filter val="8.06"/>
        <filter val="2.25"/>
        <filter val="0.88"/>
        <filter val="0.87"/>
        <filter val="0.84"/>
        <filter val="8.01"/>
        <filter val="6.65"/>
        <filter val="5.96"/>
        <filter val="6.64"/>
        <filter val="1.49"/>
        <filter val="2.1"/>
        <filter val="0.79"/>
        <filter val="6.77"/>
        <filter val="8.16"/>
        <filter val="0.92"/>
        <filter val="8.14"/>
        <filter val="3.04"/>
        <filter val="0.99"/>
        <filter val="2.34"/>
        <filter val="1.65"/>
        <filter val="0.97"/>
        <filter val="8.11"/>
        <filter val="0.95"/>
        <filter val="6.73"/>
        <filter val="7.41"/>
        <filter val="8.12"/>
        <filter val="2.31"/>
        <filter val="0.96"/>
        <filter val="0.93"/>
        <filter val="6.75"/>
        <filter val="2.29"/>
        <filter val="7.57"/>
        <filter val="7.59"/>
        <filter val="7.58"/>
        <filter val="2.47"/>
        <filter val="2.46"/>
        <filter val="6.82"/>
        <filter val="7.52"/>
        <filter val="8.23"/>
        <filter val="2.42"/>
        <filter val="1.2"/>
        <filter val="1.9"/>
        <filter val="6.99"/>
        <filter val="8.38"/>
        <filter val="7.69"/>
        <filter val="9.09"/>
        <filter val="9.07"/>
        <filter val="6.92"/>
        <filter val="6.94"/>
        <filter val="6.93"/>
        <filter val="6.96"/>
        <filter val="7.64"/>
        <filter val="3.22"/>
        <filter val="1.85"/>
        <filter val="2.54"/>
        <filter val="3.21"/>
        <filter val="2.52"/>
        <filter val="7.65"/>
        <filter val="1.84"/>
        <filter val="3.17"/>
        <filter val="8.48"/>
        <filter val="7.78"/>
        <filter val="8.49"/>
        <filter val="4.02"/>
        <filter val="7.74"/>
        <filter val="7.77"/>
        <filter val="1.95"/>
        <filter val="0.6"/>
        <filter val="0.7"/>
        <filter val="0.9"/>
        <filter val="8.2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5.75"/>
  </cols>
  <sheetData>
    <row r="1">
      <c r="A1" s="9" t="s">
        <v>39</v>
      </c>
      <c r="B1" s="9" t="s">
        <v>40</v>
      </c>
      <c r="C1" s="9" t="s">
        <v>41</v>
      </c>
      <c r="D1" s="9" t="s">
        <v>42</v>
      </c>
      <c r="F1" s="5" t="s">
        <v>43</v>
      </c>
    </row>
    <row r="2">
      <c r="A2" s="14">
        <v>1.0</v>
      </c>
      <c r="B2" s="9" t="s">
        <v>44</v>
      </c>
      <c r="C2" s="9" t="s">
        <v>45</v>
      </c>
      <c r="D2" s="9" t="s">
        <v>46</v>
      </c>
      <c r="F2" s="5" t="s">
        <v>47</v>
      </c>
    </row>
    <row r="3">
      <c r="A3" s="14">
        <v>2.0</v>
      </c>
      <c r="B3" s="9" t="s">
        <v>48</v>
      </c>
      <c r="C3" s="9" t="s">
        <v>45</v>
      </c>
      <c r="D3" s="9" t="s">
        <v>49</v>
      </c>
    </row>
    <row r="4">
      <c r="A4" s="14">
        <v>3.0</v>
      </c>
      <c r="B4" s="9" t="s">
        <v>50</v>
      </c>
      <c r="C4" s="9" t="s">
        <v>45</v>
      </c>
      <c r="D4" s="9" t="s">
        <v>51</v>
      </c>
      <c r="F4" s="5" t="s">
        <v>52</v>
      </c>
    </row>
    <row r="5">
      <c r="A5" s="14">
        <v>5.0</v>
      </c>
      <c r="B5" s="9" t="s">
        <v>53</v>
      </c>
      <c r="C5" s="9" t="s">
        <v>54</v>
      </c>
      <c r="D5" s="9" t="s">
        <v>55</v>
      </c>
    </row>
    <row r="6">
      <c r="A6" s="14">
        <v>6.0</v>
      </c>
      <c r="B6" s="9" t="s">
        <v>44</v>
      </c>
      <c r="C6" s="9" t="s">
        <v>54</v>
      </c>
      <c r="D6" s="9" t="s">
        <v>56</v>
      </c>
      <c r="F6" s="5" t="s">
        <v>57</v>
      </c>
    </row>
    <row r="7">
      <c r="A7" s="14">
        <v>7.0</v>
      </c>
      <c r="B7" s="9" t="s">
        <v>58</v>
      </c>
      <c r="C7" s="9" t="s">
        <v>54</v>
      </c>
      <c r="D7" s="9" t="s">
        <v>59</v>
      </c>
      <c r="F7" s="5" t="s">
        <v>60</v>
      </c>
    </row>
    <row r="8">
      <c r="A8" s="14">
        <v>8.0</v>
      </c>
      <c r="B8" s="9" t="s">
        <v>61</v>
      </c>
      <c r="C8" s="9" t="s">
        <v>54</v>
      </c>
      <c r="D8" s="9" t="s">
        <v>62</v>
      </c>
    </row>
    <row r="9">
      <c r="A9" s="14">
        <v>9.0</v>
      </c>
      <c r="B9" s="9" t="s">
        <v>63</v>
      </c>
      <c r="C9" s="9" t="s">
        <v>54</v>
      </c>
      <c r="D9" s="9" t="s">
        <v>64</v>
      </c>
      <c r="F9" s="5" t="s">
        <v>65</v>
      </c>
    </row>
    <row r="10">
      <c r="A10" s="14">
        <v>10.0</v>
      </c>
      <c r="B10" s="9" t="s">
        <v>66</v>
      </c>
      <c r="C10" s="9" t="s">
        <v>45</v>
      </c>
      <c r="D10" s="9" t="s">
        <v>67</v>
      </c>
    </row>
    <row r="11">
      <c r="A11" s="14">
        <v>11.0</v>
      </c>
      <c r="B11" s="9" t="s">
        <v>48</v>
      </c>
      <c r="C11" s="9" t="s">
        <v>54</v>
      </c>
      <c r="D11" s="9" t="s">
        <v>67</v>
      </c>
      <c r="F11" s="5" t="s">
        <v>68</v>
      </c>
    </row>
    <row r="12">
      <c r="A12" s="14">
        <v>12.0</v>
      </c>
      <c r="B12" s="9" t="s">
        <v>69</v>
      </c>
      <c r="C12" s="9" t="s">
        <v>45</v>
      </c>
      <c r="D12" s="9" t="s">
        <v>70</v>
      </c>
    </row>
    <row r="13">
      <c r="A13" s="14">
        <v>13.0</v>
      </c>
      <c r="B13" s="9" t="s">
        <v>58</v>
      </c>
      <c r="C13" s="9" t="s">
        <v>45</v>
      </c>
      <c r="D13" s="9" t="s">
        <v>49</v>
      </c>
      <c r="F13" s="5" t="s">
        <v>71</v>
      </c>
    </row>
    <row r="14">
      <c r="A14" s="14">
        <v>14.0</v>
      </c>
      <c r="B14" s="9" t="s">
        <v>58</v>
      </c>
      <c r="C14" s="9" t="s">
        <v>54</v>
      </c>
      <c r="D14" s="9" t="s">
        <v>59</v>
      </c>
    </row>
    <row r="15">
      <c r="A15" s="14">
        <v>15.0</v>
      </c>
      <c r="B15" s="9" t="s">
        <v>69</v>
      </c>
      <c r="C15" s="9" t="s">
        <v>45</v>
      </c>
      <c r="D15" s="9" t="s">
        <v>49</v>
      </c>
      <c r="F15" s="5" t="s">
        <v>72</v>
      </c>
    </row>
    <row r="16">
      <c r="A16" s="14">
        <v>16.0</v>
      </c>
      <c r="B16" s="9" t="s">
        <v>63</v>
      </c>
      <c r="C16" s="9" t="s">
        <v>54</v>
      </c>
      <c r="D16" s="9" t="s">
        <v>73</v>
      </c>
    </row>
    <row r="17">
      <c r="A17" s="14">
        <v>17.0</v>
      </c>
      <c r="B17" s="9" t="s">
        <v>50</v>
      </c>
      <c r="C17" s="9" t="s">
        <v>45</v>
      </c>
      <c r="D17" s="9" t="s">
        <v>55</v>
      </c>
      <c r="F17" s="5" t="s">
        <v>74</v>
      </c>
    </row>
    <row r="18">
      <c r="A18" s="14">
        <v>18.0</v>
      </c>
      <c r="B18" s="9" t="s">
        <v>75</v>
      </c>
      <c r="C18" s="9" t="s">
        <v>54</v>
      </c>
      <c r="D18" s="9" t="s">
        <v>67</v>
      </c>
      <c r="F18" s="5" t="s">
        <v>76</v>
      </c>
    </row>
    <row r="19">
      <c r="A19" s="14">
        <v>19.0</v>
      </c>
      <c r="B19" s="9" t="s">
        <v>77</v>
      </c>
      <c r="C19" s="9" t="s">
        <v>45</v>
      </c>
      <c r="D19" s="9" t="s">
        <v>73</v>
      </c>
      <c r="F19" s="5" t="s">
        <v>78</v>
      </c>
    </row>
    <row r="20">
      <c r="A20" s="14">
        <v>20.0</v>
      </c>
      <c r="B20" s="9" t="s">
        <v>79</v>
      </c>
      <c r="C20" s="9" t="s">
        <v>45</v>
      </c>
      <c r="D20" s="9" t="s">
        <v>49</v>
      </c>
      <c r="F20" s="5" t="s">
        <v>80</v>
      </c>
    </row>
    <row r="21">
      <c r="A21" s="14">
        <v>21.0</v>
      </c>
      <c r="B21" s="9" t="s">
        <v>81</v>
      </c>
      <c r="C21" s="9" t="s">
        <v>54</v>
      </c>
      <c r="D21" s="9" t="s">
        <v>64</v>
      </c>
      <c r="F21" s="5" t="s">
        <v>82</v>
      </c>
    </row>
    <row r="22">
      <c r="A22" s="14">
        <v>22.0</v>
      </c>
      <c r="B22" s="9" t="s">
        <v>48</v>
      </c>
      <c r="C22" s="9" t="s">
        <v>45</v>
      </c>
      <c r="D22" s="9" t="s">
        <v>70</v>
      </c>
      <c r="F22" s="5" t="s">
        <v>83</v>
      </c>
    </row>
    <row r="23">
      <c r="A23" s="14">
        <v>23.0</v>
      </c>
      <c r="B23" s="9" t="s">
        <v>61</v>
      </c>
      <c r="C23" s="9" t="s">
        <v>54</v>
      </c>
      <c r="D23" s="9" t="s">
        <v>84</v>
      </c>
      <c r="F23" s="15" t="s">
        <v>85</v>
      </c>
    </row>
    <row r="24">
      <c r="A24" s="14">
        <v>24.0</v>
      </c>
      <c r="B24" s="9" t="s">
        <v>44</v>
      </c>
      <c r="C24" s="9" t="s">
        <v>45</v>
      </c>
      <c r="D24" s="9" t="s">
        <v>64</v>
      </c>
    </row>
    <row r="25">
      <c r="A25" s="14">
        <v>25.0</v>
      </c>
      <c r="B25" s="9" t="s">
        <v>61</v>
      </c>
      <c r="C25" s="9" t="s">
        <v>45</v>
      </c>
      <c r="D25" s="9" t="s">
        <v>46</v>
      </c>
    </row>
    <row r="26">
      <c r="A26" s="14">
        <v>26.0</v>
      </c>
      <c r="B26" s="9" t="s">
        <v>50</v>
      </c>
      <c r="C26" s="9" t="s">
        <v>45</v>
      </c>
      <c r="D26" s="9" t="s">
        <v>49</v>
      </c>
    </row>
    <row r="27">
      <c r="A27" s="14">
        <v>27.0</v>
      </c>
      <c r="B27" s="9" t="s">
        <v>75</v>
      </c>
      <c r="C27" s="9" t="s">
        <v>54</v>
      </c>
      <c r="D27" s="9" t="s">
        <v>86</v>
      </c>
    </row>
    <row r="28">
      <c r="A28" s="14">
        <v>28.0</v>
      </c>
      <c r="B28" s="9" t="s">
        <v>87</v>
      </c>
      <c r="C28" s="9" t="s">
        <v>54</v>
      </c>
      <c r="D28" s="9" t="s">
        <v>59</v>
      </c>
    </row>
    <row r="29">
      <c r="A29" s="14">
        <v>29.0</v>
      </c>
      <c r="B29" s="9" t="s">
        <v>53</v>
      </c>
      <c r="C29" s="9" t="s">
        <v>45</v>
      </c>
      <c r="D29" s="9" t="s">
        <v>56</v>
      </c>
    </row>
    <row r="30">
      <c r="A30" s="14">
        <v>30.0</v>
      </c>
      <c r="B30" s="9" t="s">
        <v>63</v>
      </c>
      <c r="C30" s="9" t="s">
        <v>54</v>
      </c>
      <c r="D30" s="9" t="s">
        <v>49</v>
      </c>
    </row>
    <row r="31">
      <c r="A31" s="14">
        <v>31.0</v>
      </c>
      <c r="B31" s="9" t="s">
        <v>66</v>
      </c>
      <c r="C31" s="9" t="s">
        <v>54</v>
      </c>
      <c r="D31" s="9" t="s">
        <v>46</v>
      </c>
    </row>
    <row r="32">
      <c r="A32" s="14">
        <v>32.0</v>
      </c>
      <c r="B32" s="9" t="s">
        <v>44</v>
      </c>
      <c r="C32" s="9" t="s">
        <v>45</v>
      </c>
      <c r="D32" s="9" t="s">
        <v>62</v>
      </c>
    </row>
    <row r="33">
      <c r="A33" s="14">
        <v>33.0</v>
      </c>
      <c r="B33" s="9" t="s">
        <v>69</v>
      </c>
      <c r="C33" s="9" t="s">
        <v>45</v>
      </c>
      <c r="D33" s="9" t="s">
        <v>56</v>
      </c>
    </row>
    <row r="34">
      <c r="A34" s="14">
        <v>34.0</v>
      </c>
      <c r="B34" s="9" t="s">
        <v>87</v>
      </c>
      <c r="C34" s="9" t="s">
        <v>54</v>
      </c>
      <c r="D34" s="9" t="s">
        <v>64</v>
      </c>
    </row>
    <row r="35">
      <c r="A35" s="14">
        <v>35.0</v>
      </c>
      <c r="B35" s="9" t="s">
        <v>61</v>
      </c>
      <c r="C35" s="9" t="s">
        <v>45</v>
      </c>
      <c r="D35" s="9" t="s">
        <v>88</v>
      </c>
    </row>
    <row r="36">
      <c r="A36" s="14">
        <v>36.0</v>
      </c>
      <c r="B36" s="9" t="s">
        <v>61</v>
      </c>
      <c r="C36" s="9" t="s">
        <v>54</v>
      </c>
      <c r="D36" s="9" t="s">
        <v>55</v>
      </c>
    </row>
    <row r="37">
      <c r="A37" s="14">
        <v>37.0</v>
      </c>
      <c r="B37" s="9" t="s">
        <v>44</v>
      </c>
      <c r="C37" s="9" t="s">
        <v>45</v>
      </c>
      <c r="D37" s="9" t="s">
        <v>49</v>
      </c>
    </row>
    <row r="38">
      <c r="A38" s="14">
        <v>38.0</v>
      </c>
      <c r="B38" s="9" t="s">
        <v>66</v>
      </c>
      <c r="C38" s="9" t="s">
        <v>54</v>
      </c>
      <c r="D38" s="9" t="s">
        <v>62</v>
      </c>
    </row>
    <row r="39">
      <c r="A39" s="14">
        <v>39.0</v>
      </c>
      <c r="B39" s="9" t="s">
        <v>50</v>
      </c>
      <c r="C39" s="9" t="s">
        <v>45</v>
      </c>
      <c r="D39" s="9" t="s">
        <v>73</v>
      </c>
    </row>
    <row r="40">
      <c r="A40" s="14">
        <v>40.0</v>
      </c>
      <c r="B40" s="9" t="s">
        <v>50</v>
      </c>
      <c r="C40" s="9" t="s">
        <v>54</v>
      </c>
      <c r="D40" s="9" t="s">
        <v>70</v>
      </c>
    </row>
    <row r="41">
      <c r="A41" s="14">
        <v>41.0</v>
      </c>
      <c r="B41" s="9" t="s">
        <v>79</v>
      </c>
      <c r="C41" s="9" t="s">
        <v>45</v>
      </c>
      <c r="D41" s="9" t="s">
        <v>59</v>
      </c>
    </row>
    <row r="42">
      <c r="A42" s="14">
        <v>42.0</v>
      </c>
      <c r="B42" s="9" t="s">
        <v>44</v>
      </c>
      <c r="C42" s="9" t="s">
        <v>45</v>
      </c>
      <c r="D42" s="9" t="s">
        <v>49</v>
      </c>
    </row>
    <row r="43">
      <c r="A43" s="14">
        <v>43.0</v>
      </c>
      <c r="B43" s="9" t="s">
        <v>50</v>
      </c>
      <c r="C43" s="9" t="s">
        <v>54</v>
      </c>
      <c r="D43" s="9" t="s">
        <v>88</v>
      </c>
    </row>
    <row r="44">
      <c r="A44" s="14">
        <v>44.0</v>
      </c>
      <c r="B44" s="9" t="s">
        <v>81</v>
      </c>
      <c r="C44" s="9" t="s">
        <v>54</v>
      </c>
      <c r="D44" s="9" t="s">
        <v>89</v>
      </c>
    </row>
    <row r="45">
      <c r="A45" s="14">
        <v>45.0</v>
      </c>
      <c r="B45" s="9" t="s">
        <v>90</v>
      </c>
      <c r="C45" s="9" t="s">
        <v>54</v>
      </c>
      <c r="D45" s="9" t="s">
        <v>56</v>
      </c>
    </row>
    <row r="46">
      <c r="A46" s="14">
        <v>46.0</v>
      </c>
      <c r="B46" s="9" t="s">
        <v>87</v>
      </c>
      <c r="C46" s="9" t="s">
        <v>45</v>
      </c>
      <c r="D46" s="9" t="s">
        <v>73</v>
      </c>
    </row>
    <row r="47">
      <c r="A47" s="14">
        <v>47.0</v>
      </c>
      <c r="B47" s="9" t="s">
        <v>91</v>
      </c>
      <c r="C47" s="9" t="s">
        <v>45</v>
      </c>
      <c r="D47" s="9" t="s">
        <v>84</v>
      </c>
    </row>
    <row r="48">
      <c r="A48" s="14">
        <v>48.0</v>
      </c>
      <c r="B48" s="9" t="s">
        <v>81</v>
      </c>
      <c r="C48" s="9" t="s">
        <v>45</v>
      </c>
      <c r="D48" s="9" t="s">
        <v>56</v>
      </c>
    </row>
    <row r="49">
      <c r="A49" s="14">
        <v>49.0</v>
      </c>
      <c r="B49" s="9" t="s">
        <v>92</v>
      </c>
      <c r="C49" s="9" t="s">
        <v>54</v>
      </c>
      <c r="D49" s="9" t="s">
        <v>93</v>
      </c>
    </row>
    <row r="50">
      <c r="A50" s="14">
        <v>50.0</v>
      </c>
      <c r="B50" s="9" t="s">
        <v>79</v>
      </c>
      <c r="C50" s="9" t="s">
        <v>54</v>
      </c>
      <c r="D50" s="9" t="s">
        <v>67</v>
      </c>
    </row>
    <row r="51">
      <c r="A51" s="14">
        <v>51.0</v>
      </c>
      <c r="B51" s="9" t="s">
        <v>94</v>
      </c>
      <c r="C51" s="9" t="s">
        <v>45</v>
      </c>
      <c r="D51" s="9" t="s">
        <v>64</v>
      </c>
    </row>
    <row r="52">
      <c r="A52" s="14">
        <v>52.0</v>
      </c>
      <c r="B52" s="9" t="s">
        <v>92</v>
      </c>
      <c r="C52" s="9" t="s">
        <v>54</v>
      </c>
      <c r="D52" s="9" t="s">
        <v>56</v>
      </c>
    </row>
    <row r="53">
      <c r="A53" s="14">
        <v>53.0</v>
      </c>
      <c r="B53" s="9" t="s">
        <v>44</v>
      </c>
      <c r="C53" s="9" t="s">
        <v>54</v>
      </c>
      <c r="D53" s="9" t="s">
        <v>89</v>
      </c>
    </row>
    <row r="54">
      <c r="A54" s="14">
        <v>54.0</v>
      </c>
      <c r="B54" s="9" t="s">
        <v>77</v>
      </c>
      <c r="C54" s="9" t="s">
        <v>45</v>
      </c>
      <c r="D54" s="9" t="s">
        <v>88</v>
      </c>
    </row>
    <row r="55">
      <c r="A55" s="14">
        <v>55.0</v>
      </c>
      <c r="B55" s="9" t="s">
        <v>95</v>
      </c>
      <c r="C55" s="9" t="s">
        <v>45</v>
      </c>
      <c r="D55" s="9" t="s">
        <v>67</v>
      </c>
    </row>
    <row r="56">
      <c r="A56" s="14">
        <v>56.0</v>
      </c>
      <c r="B56" s="9" t="s">
        <v>87</v>
      </c>
      <c r="C56" s="9" t="s">
        <v>45</v>
      </c>
      <c r="D56" s="9" t="s">
        <v>84</v>
      </c>
    </row>
    <row r="57">
      <c r="A57" s="14">
        <v>57.0</v>
      </c>
      <c r="B57" s="9" t="s">
        <v>48</v>
      </c>
      <c r="C57" s="9" t="s">
        <v>54</v>
      </c>
      <c r="D57" s="9" t="s">
        <v>59</v>
      </c>
    </row>
    <row r="58">
      <c r="A58" s="14">
        <v>58.0</v>
      </c>
      <c r="B58" s="9" t="s">
        <v>66</v>
      </c>
      <c r="C58" s="9" t="s">
        <v>45</v>
      </c>
      <c r="D58" s="9" t="s">
        <v>89</v>
      </c>
    </row>
    <row r="59">
      <c r="A59" s="14">
        <v>59.0</v>
      </c>
      <c r="B59" s="9" t="s">
        <v>69</v>
      </c>
      <c r="C59" s="9" t="s">
        <v>45</v>
      </c>
      <c r="D59" s="9" t="s">
        <v>49</v>
      </c>
    </row>
    <row r="60">
      <c r="A60" s="14">
        <v>60.0</v>
      </c>
      <c r="B60" s="9" t="s">
        <v>44</v>
      </c>
      <c r="C60" s="9" t="s">
        <v>45</v>
      </c>
      <c r="D60" s="9" t="s">
        <v>88</v>
      </c>
    </row>
    <row r="61">
      <c r="A61" s="14">
        <v>61.0</v>
      </c>
      <c r="B61" s="9" t="s">
        <v>90</v>
      </c>
      <c r="C61" s="9" t="s">
        <v>45</v>
      </c>
      <c r="D61" s="9" t="s">
        <v>67</v>
      </c>
    </row>
    <row r="62">
      <c r="A62" s="14">
        <v>62.0</v>
      </c>
      <c r="B62" s="9" t="s">
        <v>90</v>
      </c>
      <c r="C62" s="9" t="s">
        <v>54</v>
      </c>
      <c r="D62" s="9" t="s">
        <v>89</v>
      </c>
    </row>
    <row r="63">
      <c r="A63" s="14">
        <v>63.0</v>
      </c>
      <c r="B63" s="9" t="s">
        <v>96</v>
      </c>
      <c r="C63" s="9" t="s">
        <v>45</v>
      </c>
      <c r="D63" s="9" t="s">
        <v>89</v>
      </c>
    </row>
    <row r="64">
      <c r="A64" s="14">
        <v>64.0</v>
      </c>
      <c r="B64" s="9" t="s">
        <v>79</v>
      </c>
      <c r="C64" s="9" t="s">
        <v>45</v>
      </c>
      <c r="D64" s="9" t="s">
        <v>84</v>
      </c>
    </row>
    <row r="65">
      <c r="A65" s="14">
        <v>65.0</v>
      </c>
      <c r="B65" s="9" t="s">
        <v>58</v>
      </c>
      <c r="C65" s="9" t="s">
        <v>54</v>
      </c>
      <c r="D65" s="9" t="s">
        <v>86</v>
      </c>
    </row>
    <row r="66">
      <c r="A66" s="14">
        <v>66.0</v>
      </c>
      <c r="B66" s="9" t="s">
        <v>44</v>
      </c>
      <c r="C66" s="9" t="s">
        <v>54</v>
      </c>
      <c r="D66" s="9" t="s">
        <v>93</v>
      </c>
    </row>
    <row r="67">
      <c r="A67" s="14">
        <v>67.0</v>
      </c>
      <c r="B67" s="9" t="s">
        <v>58</v>
      </c>
      <c r="C67" s="9" t="s">
        <v>54</v>
      </c>
      <c r="D67" s="9" t="s">
        <v>86</v>
      </c>
    </row>
    <row r="68">
      <c r="A68" s="14">
        <v>68.0</v>
      </c>
      <c r="B68" s="9" t="s">
        <v>79</v>
      </c>
      <c r="C68" s="9" t="s">
        <v>45</v>
      </c>
      <c r="D68" s="9" t="s">
        <v>64</v>
      </c>
    </row>
    <row r="69">
      <c r="A69" s="14">
        <v>69.0</v>
      </c>
      <c r="B69" s="9" t="s">
        <v>58</v>
      </c>
      <c r="C69" s="9" t="s">
        <v>54</v>
      </c>
      <c r="D69" s="9" t="s">
        <v>59</v>
      </c>
    </row>
    <row r="70">
      <c r="A70" s="14">
        <v>70.0</v>
      </c>
      <c r="B70" s="9" t="s">
        <v>77</v>
      </c>
      <c r="C70" s="9" t="s">
        <v>54</v>
      </c>
      <c r="D70" s="9" t="s">
        <v>93</v>
      </c>
    </row>
    <row r="71">
      <c r="A71" s="14">
        <v>71.0</v>
      </c>
      <c r="B71" s="9" t="s">
        <v>96</v>
      </c>
      <c r="C71" s="9" t="s">
        <v>45</v>
      </c>
      <c r="D71" s="9" t="s">
        <v>49</v>
      </c>
    </row>
    <row r="72">
      <c r="A72" s="14">
        <v>72.0</v>
      </c>
      <c r="B72" s="9" t="s">
        <v>44</v>
      </c>
      <c r="C72" s="9" t="s">
        <v>45</v>
      </c>
      <c r="D72" s="9" t="s">
        <v>49</v>
      </c>
    </row>
    <row r="73">
      <c r="A73" s="14">
        <v>73.0</v>
      </c>
      <c r="B73" s="9" t="s">
        <v>53</v>
      </c>
      <c r="C73" s="9" t="s">
        <v>45</v>
      </c>
      <c r="D73" s="9" t="s">
        <v>84</v>
      </c>
    </row>
    <row r="74">
      <c r="A74" s="14">
        <v>74.0</v>
      </c>
      <c r="B74" s="9" t="s">
        <v>69</v>
      </c>
      <c r="C74" s="9" t="s">
        <v>54</v>
      </c>
      <c r="D74" s="9" t="s">
        <v>51</v>
      </c>
    </row>
    <row r="75">
      <c r="A75" s="14">
        <v>75.0</v>
      </c>
      <c r="B75" s="9" t="s">
        <v>81</v>
      </c>
      <c r="C75" s="9" t="s">
        <v>45</v>
      </c>
      <c r="D75" s="9" t="s">
        <v>89</v>
      </c>
    </row>
    <row r="76">
      <c r="A76" s="14">
        <v>76.0</v>
      </c>
      <c r="B76" s="9" t="s">
        <v>91</v>
      </c>
      <c r="C76" s="9" t="s">
        <v>45</v>
      </c>
      <c r="D76" s="9" t="s">
        <v>56</v>
      </c>
    </row>
    <row r="77">
      <c r="A77" s="14">
        <v>77.0</v>
      </c>
      <c r="B77" s="9" t="s">
        <v>53</v>
      </c>
      <c r="C77" s="9" t="s">
        <v>45</v>
      </c>
      <c r="D77" s="9" t="s">
        <v>51</v>
      </c>
    </row>
    <row r="78">
      <c r="A78" s="14">
        <v>78.0</v>
      </c>
      <c r="B78" s="9" t="s">
        <v>53</v>
      </c>
      <c r="C78" s="9" t="s">
        <v>45</v>
      </c>
      <c r="D78" s="9" t="s">
        <v>62</v>
      </c>
    </row>
    <row r="79">
      <c r="A79" s="14">
        <v>79.0</v>
      </c>
      <c r="B79" s="9" t="s">
        <v>77</v>
      </c>
      <c r="C79" s="9" t="s">
        <v>54</v>
      </c>
      <c r="D79" s="9" t="s">
        <v>89</v>
      </c>
    </row>
    <row r="80">
      <c r="A80" s="14">
        <v>80.0</v>
      </c>
      <c r="B80" s="9" t="s">
        <v>50</v>
      </c>
      <c r="C80" s="9" t="s">
        <v>45</v>
      </c>
      <c r="D80" s="9" t="s">
        <v>84</v>
      </c>
    </row>
    <row r="81">
      <c r="A81" s="14">
        <v>81.0</v>
      </c>
      <c r="B81" s="9" t="s">
        <v>48</v>
      </c>
      <c r="C81" s="9" t="s">
        <v>45</v>
      </c>
      <c r="D81" s="9" t="s">
        <v>51</v>
      </c>
    </row>
    <row r="82">
      <c r="A82" s="14">
        <v>82.0</v>
      </c>
      <c r="B82" s="9" t="s">
        <v>53</v>
      </c>
      <c r="C82" s="9" t="s">
        <v>54</v>
      </c>
      <c r="D82" s="9" t="s">
        <v>67</v>
      </c>
    </row>
    <row r="83">
      <c r="A83" s="14">
        <v>83.0</v>
      </c>
      <c r="B83" s="9" t="s">
        <v>63</v>
      </c>
      <c r="C83" s="9" t="s">
        <v>45</v>
      </c>
      <c r="D83" s="9" t="s">
        <v>55</v>
      </c>
    </row>
    <row r="84">
      <c r="A84" s="14">
        <v>84.0</v>
      </c>
      <c r="B84" s="9" t="s">
        <v>50</v>
      </c>
      <c r="C84" s="9" t="s">
        <v>54</v>
      </c>
      <c r="D84" s="9" t="s">
        <v>59</v>
      </c>
    </row>
    <row r="85">
      <c r="A85" s="14">
        <v>85.0</v>
      </c>
      <c r="B85" s="9" t="s">
        <v>66</v>
      </c>
      <c r="C85" s="9" t="s">
        <v>54</v>
      </c>
      <c r="D85" s="9" t="s">
        <v>86</v>
      </c>
    </row>
    <row r="86">
      <c r="A86" s="14">
        <v>86.0</v>
      </c>
      <c r="B86" s="9" t="s">
        <v>69</v>
      </c>
      <c r="C86" s="9" t="s">
        <v>54</v>
      </c>
      <c r="D86" s="9" t="s">
        <v>73</v>
      </c>
    </row>
    <row r="87">
      <c r="A87" s="14">
        <v>87.0</v>
      </c>
      <c r="B87" s="9" t="s">
        <v>95</v>
      </c>
      <c r="C87" s="9" t="s">
        <v>45</v>
      </c>
      <c r="D87" s="9" t="s">
        <v>84</v>
      </c>
    </row>
    <row r="88">
      <c r="A88" s="14">
        <v>88.0</v>
      </c>
      <c r="B88" s="9" t="s">
        <v>53</v>
      </c>
      <c r="C88" s="9" t="s">
        <v>54</v>
      </c>
      <c r="D88" s="9" t="s">
        <v>89</v>
      </c>
    </row>
    <row r="89">
      <c r="A89" s="14">
        <v>89.0</v>
      </c>
      <c r="B89" s="9" t="s">
        <v>53</v>
      </c>
      <c r="C89" s="9" t="s">
        <v>45</v>
      </c>
      <c r="D89" s="9" t="s">
        <v>84</v>
      </c>
    </row>
    <row r="90">
      <c r="A90" s="14">
        <v>90.0</v>
      </c>
      <c r="B90" s="9" t="s">
        <v>92</v>
      </c>
      <c r="C90" s="9" t="s">
        <v>45</v>
      </c>
      <c r="D90" s="9" t="s">
        <v>56</v>
      </c>
    </row>
    <row r="91">
      <c r="A91" s="14">
        <v>91.0</v>
      </c>
      <c r="B91" s="9" t="s">
        <v>66</v>
      </c>
      <c r="C91" s="9" t="s">
        <v>54</v>
      </c>
      <c r="D91" s="9" t="s">
        <v>84</v>
      </c>
    </row>
    <row r="92">
      <c r="A92" s="14">
        <v>92.0</v>
      </c>
      <c r="B92" s="9" t="s">
        <v>48</v>
      </c>
      <c r="C92" s="9" t="s">
        <v>54</v>
      </c>
      <c r="D92" s="9" t="s">
        <v>86</v>
      </c>
    </row>
    <row r="93">
      <c r="A93" s="14">
        <v>93.0</v>
      </c>
      <c r="B93" s="9" t="s">
        <v>96</v>
      </c>
      <c r="C93" s="9" t="s">
        <v>54</v>
      </c>
      <c r="D93" s="9" t="s">
        <v>64</v>
      </c>
    </row>
    <row r="94">
      <c r="A94" s="14">
        <v>94.0</v>
      </c>
      <c r="B94" s="9" t="s">
        <v>63</v>
      </c>
      <c r="C94" s="9" t="s">
        <v>45</v>
      </c>
      <c r="D94" s="9" t="s">
        <v>62</v>
      </c>
    </row>
    <row r="95">
      <c r="A95" s="14">
        <v>95.0</v>
      </c>
      <c r="B95" s="9" t="s">
        <v>79</v>
      </c>
      <c r="C95" s="9" t="s">
        <v>54</v>
      </c>
      <c r="D95" s="9" t="s">
        <v>49</v>
      </c>
    </row>
    <row r="96">
      <c r="A96" s="14">
        <v>96.0</v>
      </c>
      <c r="B96" s="9" t="s">
        <v>48</v>
      </c>
      <c r="C96" s="9" t="s">
        <v>45</v>
      </c>
      <c r="D96" s="9" t="s">
        <v>55</v>
      </c>
    </row>
    <row r="97">
      <c r="A97" s="14">
        <v>97.0</v>
      </c>
      <c r="B97" s="9" t="s">
        <v>92</v>
      </c>
      <c r="C97" s="9" t="s">
        <v>45</v>
      </c>
      <c r="D97" s="9" t="s">
        <v>89</v>
      </c>
    </row>
    <row r="98">
      <c r="A98" s="14">
        <v>98.0</v>
      </c>
      <c r="B98" s="9" t="s">
        <v>63</v>
      </c>
      <c r="C98" s="9" t="s">
        <v>54</v>
      </c>
      <c r="D98" s="9" t="s">
        <v>62</v>
      </c>
    </row>
    <row r="99">
      <c r="A99" s="14">
        <v>99.0</v>
      </c>
      <c r="B99" s="9" t="s">
        <v>81</v>
      </c>
      <c r="C99" s="9" t="s">
        <v>45</v>
      </c>
      <c r="D99" s="9" t="s">
        <v>46</v>
      </c>
    </row>
    <row r="100">
      <c r="A100" s="14">
        <v>100.0</v>
      </c>
      <c r="B100" s="9" t="s">
        <v>66</v>
      </c>
      <c r="C100" s="9" t="s">
        <v>54</v>
      </c>
      <c r="D100" s="9" t="s">
        <v>84</v>
      </c>
    </row>
    <row r="101">
      <c r="A101" s="9"/>
      <c r="B101" s="9"/>
      <c r="C101" s="9"/>
      <c r="D101" s="9"/>
    </row>
    <row r="102">
      <c r="A102" s="9"/>
      <c r="B102" s="9"/>
      <c r="C102" s="9"/>
      <c r="D102" s="9"/>
    </row>
    <row r="103">
      <c r="A103" s="9"/>
      <c r="B103" s="9"/>
      <c r="C103" s="9"/>
      <c r="D103" s="9"/>
    </row>
    <row r="104">
      <c r="A104" s="9"/>
      <c r="B104" s="9"/>
      <c r="C104" s="9"/>
      <c r="D104" s="9"/>
    </row>
    <row r="105">
      <c r="A105" s="9"/>
      <c r="B105" s="9"/>
      <c r="C105" s="9"/>
      <c r="D105" s="9"/>
    </row>
    <row r="106">
      <c r="A106" s="9"/>
      <c r="B106" s="9"/>
      <c r="C106" s="9"/>
      <c r="D106" s="9"/>
    </row>
    <row r="107">
      <c r="A107" s="9"/>
      <c r="B107" s="9"/>
      <c r="C107" s="9"/>
      <c r="D107" s="9"/>
    </row>
    <row r="108">
      <c r="A108" s="9"/>
      <c r="B108" s="9"/>
      <c r="C108" s="9"/>
      <c r="D108" s="9"/>
    </row>
    <row r="109">
      <c r="A109" s="9"/>
      <c r="B109" s="9"/>
      <c r="C109" s="9"/>
      <c r="D109" s="9"/>
    </row>
    <row r="110">
      <c r="A110" s="9"/>
      <c r="B110" s="9"/>
      <c r="C110" s="9"/>
      <c r="D110" s="9"/>
    </row>
    <row r="111">
      <c r="A111" s="9"/>
      <c r="B111" s="9"/>
      <c r="C111" s="9"/>
      <c r="D111" s="9"/>
    </row>
    <row r="112">
      <c r="A112" s="9"/>
      <c r="B112" s="9"/>
      <c r="C112" s="9"/>
      <c r="D112" s="9"/>
    </row>
    <row r="113">
      <c r="A113" s="9"/>
      <c r="B113" s="9"/>
      <c r="C113" s="9"/>
      <c r="D113" s="9"/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9"/>
    </row>
    <row r="118">
      <c r="A118" s="9"/>
      <c r="B118" s="9"/>
      <c r="C118" s="9"/>
      <c r="D118" s="9"/>
    </row>
    <row r="119">
      <c r="A119" s="9"/>
      <c r="B119" s="9"/>
      <c r="C119" s="9"/>
      <c r="D119" s="9"/>
    </row>
    <row r="120">
      <c r="A120" s="9"/>
      <c r="B120" s="9"/>
      <c r="C120" s="9"/>
      <c r="D120" s="9"/>
    </row>
    <row r="121">
      <c r="A121" s="9"/>
      <c r="B121" s="9"/>
      <c r="C121" s="9"/>
      <c r="D121" s="9"/>
    </row>
    <row r="122">
      <c r="A122" s="9"/>
      <c r="B122" s="9"/>
      <c r="C122" s="9"/>
      <c r="D122" s="9"/>
    </row>
    <row r="123">
      <c r="A123" s="9"/>
      <c r="B123" s="9"/>
      <c r="C123" s="9"/>
      <c r="D123" s="9"/>
    </row>
    <row r="124">
      <c r="A124" s="9"/>
      <c r="B124" s="9"/>
      <c r="C124" s="9"/>
      <c r="D124" s="9"/>
    </row>
    <row r="125">
      <c r="A125" s="9"/>
      <c r="B125" s="9"/>
      <c r="C125" s="9"/>
      <c r="D125" s="9"/>
    </row>
    <row r="126">
      <c r="A126" s="9"/>
      <c r="B126" s="9"/>
      <c r="C126" s="9"/>
      <c r="D126" s="9"/>
    </row>
    <row r="127">
      <c r="A127" s="9"/>
      <c r="B127" s="9"/>
      <c r="C127" s="9"/>
      <c r="D127" s="9"/>
    </row>
    <row r="128">
      <c r="A128" s="9"/>
      <c r="B128" s="9"/>
      <c r="C128" s="9"/>
      <c r="D128" s="9"/>
    </row>
    <row r="129">
      <c r="A129" s="9"/>
      <c r="B129" s="9"/>
      <c r="C129" s="9"/>
      <c r="D129" s="9"/>
    </row>
    <row r="130">
      <c r="A130" s="9"/>
      <c r="B130" s="9"/>
      <c r="C130" s="9"/>
      <c r="D130" s="9"/>
    </row>
    <row r="131">
      <c r="A131" s="9"/>
      <c r="B131" s="9"/>
      <c r="C131" s="9"/>
      <c r="D131" s="9"/>
    </row>
    <row r="132">
      <c r="A132" s="9"/>
      <c r="B132" s="9"/>
      <c r="C132" s="9"/>
      <c r="D132" s="9"/>
    </row>
    <row r="133">
      <c r="A133" s="9"/>
      <c r="B133" s="9"/>
      <c r="C133" s="9"/>
      <c r="D133" s="9"/>
    </row>
    <row r="134">
      <c r="A134" s="9"/>
      <c r="B134" s="9"/>
      <c r="C134" s="9"/>
      <c r="D134" s="9"/>
    </row>
    <row r="135">
      <c r="A135" s="9"/>
      <c r="B135" s="9"/>
      <c r="C135" s="9"/>
      <c r="D135" s="9"/>
    </row>
    <row r="136">
      <c r="A136" s="9"/>
      <c r="B136" s="9"/>
      <c r="C136" s="9"/>
      <c r="D136" s="9"/>
    </row>
    <row r="137">
      <c r="A137" s="9"/>
      <c r="B137" s="9"/>
      <c r="C137" s="9"/>
      <c r="D137" s="9"/>
    </row>
    <row r="138">
      <c r="A138" s="9"/>
      <c r="B138" s="9"/>
      <c r="C138" s="9"/>
      <c r="D138" s="9"/>
    </row>
    <row r="139">
      <c r="A139" s="9"/>
      <c r="B139" s="9"/>
      <c r="C139" s="9"/>
      <c r="D139" s="9"/>
    </row>
    <row r="140">
      <c r="A140" s="9"/>
      <c r="B140" s="9"/>
      <c r="C140" s="9"/>
      <c r="D140" s="9"/>
    </row>
    <row r="141">
      <c r="A141" s="9"/>
      <c r="B141" s="9"/>
      <c r="C141" s="9"/>
      <c r="D141" s="9"/>
    </row>
    <row r="142">
      <c r="A142" s="9"/>
      <c r="B142" s="9"/>
      <c r="C142" s="9"/>
      <c r="D142" s="9"/>
    </row>
    <row r="143">
      <c r="A143" s="9"/>
      <c r="B143" s="9"/>
      <c r="C143" s="9"/>
      <c r="D143" s="9"/>
    </row>
    <row r="144">
      <c r="A144" s="9"/>
      <c r="B144" s="9"/>
      <c r="C144" s="9"/>
      <c r="D144" s="9"/>
    </row>
    <row r="145">
      <c r="A145" s="9"/>
      <c r="B145" s="9"/>
      <c r="C145" s="9"/>
      <c r="D145" s="9"/>
    </row>
    <row r="146">
      <c r="A146" s="9"/>
      <c r="B146" s="9"/>
      <c r="C146" s="9"/>
      <c r="D146" s="9"/>
    </row>
    <row r="147">
      <c r="A147" s="9"/>
      <c r="B147" s="9"/>
      <c r="C147" s="9"/>
      <c r="D147" s="9"/>
    </row>
    <row r="148">
      <c r="A148" s="9"/>
      <c r="B148" s="9"/>
      <c r="C148" s="9"/>
      <c r="D148" s="9"/>
    </row>
    <row r="149">
      <c r="A149" s="9"/>
      <c r="B149" s="9"/>
      <c r="C149" s="9"/>
      <c r="D149" s="9"/>
    </row>
    <row r="150">
      <c r="A150" s="9"/>
      <c r="B150" s="9"/>
      <c r="C150" s="9"/>
      <c r="D150" s="9"/>
    </row>
    <row r="151">
      <c r="A151" s="9"/>
      <c r="B151" s="9"/>
      <c r="C151" s="9"/>
      <c r="D151" s="9"/>
    </row>
    <row r="152">
      <c r="A152" s="9"/>
      <c r="B152" s="9"/>
      <c r="C152" s="9"/>
      <c r="D152" s="9"/>
    </row>
    <row r="153">
      <c r="A153" s="9"/>
      <c r="B153" s="9"/>
      <c r="C153" s="9"/>
      <c r="D153" s="9"/>
    </row>
    <row r="154">
      <c r="A154" s="9"/>
      <c r="B154" s="9"/>
      <c r="C154" s="9"/>
      <c r="D154" s="9"/>
    </row>
    <row r="155">
      <c r="A155" s="9"/>
      <c r="B155" s="9"/>
      <c r="C155" s="9"/>
      <c r="D155" s="9"/>
    </row>
    <row r="156">
      <c r="A156" s="9"/>
      <c r="B156" s="9"/>
      <c r="C156" s="9"/>
      <c r="D156" s="9"/>
    </row>
    <row r="157">
      <c r="A157" s="9"/>
      <c r="B157" s="9"/>
      <c r="C157" s="9"/>
      <c r="D157" s="9"/>
    </row>
    <row r="158">
      <c r="A158" s="9"/>
      <c r="B158" s="9"/>
      <c r="C158" s="9"/>
      <c r="D158" s="9"/>
    </row>
    <row r="159">
      <c r="A159" s="9"/>
      <c r="B159" s="9"/>
      <c r="C159" s="9"/>
      <c r="D159" s="9"/>
    </row>
    <row r="160">
      <c r="A160" s="9"/>
      <c r="B160" s="9"/>
      <c r="C160" s="9"/>
      <c r="D160" s="9"/>
    </row>
    <row r="161">
      <c r="A161" s="9"/>
      <c r="B161" s="9"/>
      <c r="C161" s="9"/>
      <c r="D161" s="9"/>
    </row>
    <row r="162">
      <c r="A162" s="9"/>
      <c r="B162" s="9"/>
      <c r="C162" s="9"/>
      <c r="D162" s="9"/>
    </row>
    <row r="163">
      <c r="A163" s="9"/>
      <c r="B163" s="9"/>
      <c r="C163" s="9"/>
      <c r="D163" s="9"/>
    </row>
    <row r="164">
      <c r="A164" s="9"/>
      <c r="B164" s="9"/>
      <c r="C164" s="9"/>
      <c r="D164" s="9"/>
    </row>
    <row r="165">
      <c r="A165" s="9"/>
      <c r="B165" s="9"/>
      <c r="C165" s="9"/>
      <c r="D165" s="9"/>
    </row>
    <row r="166">
      <c r="A166" s="9"/>
      <c r="B166" s="9"/>
      <c r="C166" s="9"/>
      <c r="D166" s="9"/>
    </row>
    <row r="167">
      <c r="A167" s="9"/>
      <c r="B167" s="9"/>
      <c r="C167" s="9"/>
      <c r="D167" s="9"/>
    </row>
    <row r="168">
      <c r="A168" s="9"/>
      <c r="B168" s="9"/>
      <c r="C168" s="9"/>
      <c r="D168" s="9"/>
    </row>
    <row r="169">
      <c r="A169" s="9"/>
      <c r="B169" s="9"/>
      <c r="C169" s="9"/>
      <c r="D169" s="9"/>
    </row>
    <row r="170">
      <c r="A170" s="9"/>
      <c r="B170" s="9"/>
      <c r="C170" s="9"/>
      <c r="D170" s="9"/>
    </row>
    <row r="171">
      <c r="A171" s="9"/>
      <c r="B171" s="9"/>
      <c r="C171" s="9"/>
      <c r="D171" s="9"/>
    </row>
    <row r="172">
      <c r="A172" s="9"/>
      <c r="B172" s="9"/>
      <c r="C172" s="9"/>
      <c r="D172" s="9"/>
    </row>
    <row r="173">
      <c r="A173" s="9"/>
      <c r="B173" s="9"/>
      <c r="C173" s="9"/>
      <c r="D173" s="9"/>
    </row>
    <row r="174">
      <c r="A174" s="9"/>
      <c r="B174" s="9"/>
      <c r="C174" s="9"/>
      <c r="D174" s="9"/>
    </row>
    <row r="175">
      <c r="A175" s="9"/>
      <c r="B175" s="9"/>
      <c r="C175" s="9"/>
      <c r="D175" s="9"/>
    </row>
    <row r="176">
      <c r="A176" s="9"/>
      <c r="B176" s="9"/>
      <c r="C176" s="9"/>
      <c r="D176" s="9"/>
    </row>
    <row r="177">
      <c r="A177" s="9"/>
      <c r="B177" s="9"/>
      <c r="C177" s="9"/>
      <c r="D177" s="9"/>
    </row>
    <row r="178">
      <c r="A178" s="9"/>
      <c r="B178" s="9"/>
      <c r="C178" s="9"/>
      <c r="D178" s="9"/>
    </row>
    <row r="179">
      <c r="A179" s="9"/>
      <c r="B179" s="9"/>
      <c r="C179" s="9"/>
      <c r="D179" s="9"/>
    </row>
    <row r="180">
      <c r="A180" s="9"/>
      <c r="B180" s="9"/>
      <c r="C180" s="9"/>
      <c r="D180" s="9"/>
    </row>
    <row r="181">
      <c r="A181" s="9"/>
      <c r="B181" s="9"/>
      <c r="C181" s="9"/>
      <c r="D181" s="9"/>
    </row>
    <row r="182">
      <c r="A182" s="9"/>
      <c r="B182" s="9"/>
      <c r="C182" s="9"/>
      <c r="D182" s="9"/>
    </row>
    <row r="183">
      <c r="A183" s="9"/>
      <c r="B183" s="9"/>
      <c r="C183" s="9"/>
      <c r="D183" s="9"/>
    </row>
    <row r="184">
      <c r="A184" s="9"/>
      <c r="B184" s="9"/>
      <c r="C184" s="9"/>
      <c r="D184" s="9"/>
    </row>
    <row r="185">
      <c r="A185" s="9"/>
      <c r="B185" s="9"/>
      <c r="C185" s="9"/>
      <c r="D185" s="9"/>
    </row>
    <row r="186">
      <c r="A186" s="9"/>
      <c r="B186" s="9"/>
      <c r="C186" s="9"/>
      <c r="D186" s="9"/>
    </row>
    <row r="187">
      <c r="A187" s="9"/>
      <c r="B187" s="9"/>
      <c r="C187" s="9"/>
      <c r="D187" s="9"/>
    </row>
    <row r="188">
      <c r="A188" s="9"/>
      <c r="B188" s="9"/>
      <c r="C188" s="9"/>
      <c r="D188" s="9"/>
    </row>
    <row r="189">
      <c r="A189" s="9"/>
      <c r="B189" s="9"/>
      <c r="C189" s="9"/>
      <c r="D189" s="9"/>
    </row>
    <row r="190">
      <c r="A190" s="9"/>
      <c r="B190" s="9"/>
      <c r="C190" s="9"/>
      <c r="D190" s="9"/>
    </row>
    <row r="191">
      <c r="A191" s="9"/>
      <c r="B191" s="9"/>
      <c r="C191" s="9"/>
      <c r="D191" s="9"/>
    </row>
    <row r="192">
      <c r="A192" s="9"/>
      <c r="B192" s="9"/>
      <c r="C192" s="9"/>
      <c r="D192" s="9"/>
    </row>
    <row r="193">
      <c r="A193" s="9"/>
      <c r="B193" s="9"/>
      <c r="C193" s="9"/>
      <c r="D193" s="9"/>
    </row>
    <row r="194">
      <c r="A194" s="9"/>
      <c r="B194" s="9"/>
      <c r="C194" s="9"/>
      <c r="D194" s="9"/>
    </row>
    <row r="195">
      <c r="A195" s="9"/>
      <c r="B195" s="9"/>
      <c r="C195" s="9"/>
      <c r="D195" s="9"/>
    </row>
    <row r="196">
      <c r="A196" s="9"/>
      <c r="B196" s="9"/>
      <c r="C196" s="9"/>
      <c r="D196" s="9"/>
    </row>
    <row r="197">
      <c r="A197" s="9"/>
      <c r="B197" s="9"/>
      <c r="C197" s="9"/>
      <c r="D197" s="9"/>
    </row>
    <row r="198">
      <c r="A198" s="9"/>
      <c r="B198" s="9"/>
      <c r="C198" s="9"/>
      <c r="D198" s="9"/>
    </row>
    <row r="199">
      <c r="A199" s="9"/>
      <c r="B199" s="9"/>
      <c r="C199" s="9"/>
      <c r="D199" s="9"/>
    </row>
    <row r="200">
      <c r="A200" s="9"/>
      <c r="B200" s="9"/>
      <c r="C200" s="9"/>
      <c r="D200" s="9"/>
    </row>
    <row r="201">
      <c r="A201" s="9"/>
      <c r="B201" s="9"/>
      <c r="C201" s="9"/>
      <c r="D201" s="9"/>
    </row>
    <row r="202">
      <c r="A202" s="9"/>
      <c r="B202" s="9"/>
      <c r="C202" s="9"/>
      <c r="D202" s="9"/>
    </row>
    <row r="203">
      <c r="A203" s="9"/>
      <c r="B203" s="9"/>
      <c r="C203" s="9"/>
      <c r="D203" s="9"/>
    </row>
    <row r="204">
      <c r="A204" s="9"/>
      <c r="B204" s="9"/>
      <c r="C204" s="9"/>
      <c r="D204" s="9"/>
    </row>
    <row r="205">
      <c r="A205" s="9"/>
      <c r="B205" s="9"/>
      <c r="C205" s="9"/>
      <c r="D205" s="9"/>
    </row>
    <row r="206">
      <c r="A206" s="9"/>
      <c r="B206" s="9"/>
      <c r="C206" s="9"/>
      <c r="D206" s="9"/>
    </row>
    <row r="207">
      <c r="A207" s="9"/>
      <c r="B207" s="9"/>
      <c r="C207" s="9"/>
      <c r="D207" s="9"/>
    </row>
    <row r="208">
      <c r="A208" s="9"/>
      <c r="B208" s="9"/>
      <c r="C208" s="9"/>
      <c r="D208" s="9"/>
    </row>
    <row r="209">
      <c r="A209" s="9"/>
      <c r="B209" s="9"/>
      <c r="C209" s="9"/>
      <c r="D209" s="9"/>
    </row>
    <row r="210">
      <c r="A210" s="9"/>
      <c r="B210" s="9"/>
      <c r="C210" s="9"/>
      <c r="D210" s="9"/>
    </row>
    <row r="211">
      <c r="A211" s="9"/>
      <c r="B211" s="9"/>
      <c r="C211" s="9"/>
      <c r="D211" s="9"/>
    </row>
    <row r="212">
      <c r="A212" s="9"/>
      <c r="B212" s="9"/>
      <c r="C212" s="9"/>
      <c r="D212" s="9"/>
    </row>
    <row r="213">
      <c r="A213" s="9"/>
      <c r="B213" s="9"/>
      <c r="C213" s="9"/>
      <c r="D213" s="9"/>
    </row>
    <row r="214">
      <c r="A214" s="9"/>
      <c r="B214" s="9"/>
      <c r="C214" s="9"/>
      <c r="D214" s="9"/>
    </row>
    <row r="215">
      <c r="A215" s="9"/>
      <c r="B215" s="9"/>
      <c r="C215" s="9"/>
      <c r="D215" s="9"/>
    </row>
    <row r="216">
      <c r="A216" s="9"/>
      <c r="B216" s="9"/>
      <c r="C216" s="9"/>
      <c r="D216" s="9"/>
    </row>
    <row r="217">
      <c r="A217" s="9"/>
      <c r="B217" s="9"/>
      <c r="C217" s="9"/>
      <c r="D217" s="9"/>
    </row>
    <row r="218">
      <c r="A218" s="9"/>
      <c r="B218" s="9"/>
      <c r="C218" s="9"/>
      <c r="D218" s="9"/>
    </row>
    <row r="219">
      <c r="A219" s="9"/>
      <c r="B219" s="9"/>
      <c r="C219" s="9"/>
      <c r="D219" s="9"/>
    </row>
    <row r="220">
      <c r="A220" s="9"/>
      <c r="B220" s="9"/>
      <c r="C220" s="9"/>
      <c r="D220" s="9"/>
    </row>
    <row r="221">
      <c r="A221" s="9"/>
      <c r="B221" s="9"/>
      <c r="C221" s="9"/>
      <c r="D221" s="9"/>
    </row>
    <row r="222">
      <c r="A222" s="9"/>
      <c r="B222" s="9"/>
      <c r="C222" s="9"/>
      <c r="D222" s="9"/>
    </row>
    <row r="223">
      <c r="A223" s="9"/>
      <c r="B223" s="9"/>
      <c r="C223" s="9"/>
      <c r="D223" s="9"/>
    </row>
    <row r="224">
      <c r="A224" s="9"/>
      <c r="B224" s="9"/>
      <c r="C224" s="9"/>
      <c r="D224" s="9"/>
    </row>
    <row r="225">
      <c r="A225" s="9"/>
      <c r="B225" s="9"/>
      <c r="C225" s="9"/>
      <c r="D225" s="9"/>
    </row>
    <row r="226">
      <c r="A226" s="9"/>
      <c r="B226" s="9"/>
      <c r="C226" s="9"/>
      <c r="D226" s="9"/>
    </row>
    <row r="227">
      <c r="A227" s="9"/>
      <c r="B227" s="9"/>
      <c r="C227" s="9"/>
      <c r="D227" s="9"/>
    </row>
    <row r="228">
      <c r="A228" s="9"/>
      <c r="B228" s="9"/>
      <c r="C228" s="9"/>
      <c r="D228" s="9"/>
    </row>
    <row r="229">
      <c r="A229" s="9"/>
      <c r="B229" s="9"/>
      <c r="C229" s="9"/>
      <c r="D229" s="9"/>
    </row>
    <row r="230">
      <c r="A230" s="9"/>
      <c r="B230" s="9"/>
      <c r="C230" s="9"/>
      <c r="D230" s="9"/>
    </row>
    <row r="231">
      <c r="A231" s="9"/>
      <c r="B231" s="9"/>
      <c r="C231" s="9"/>
      <c r="D231" s="9"/>
    </row>
    <row r="232">
      <c r="A232" s="9"/>
      <c r="B232" s="9"/>
      <c r="C232" s="9"/>
      <c r="D232" s="9"/>
    </row>
    <row r="233">
      <c r="A233" s="9"/>
      <c r="B233" s="9"/>
      <c r="C233" s="9"/>
      <c r="D233" s="9"/>
    </row>
    <row r="234">
      <c r="A234" s="9"/>
      <c r="B234" s="9"/>
      <c r="C234" s="9"/>
      <c r="D234" s="9"/>
    </row>
    <row r="235">
      <c r="A235" s="9"/>
      <c r="B235" s="9"/>
      <c r="C235" s="9"/>
      <c r="D235" s="9"/>
    </row>
    <row r="236">
      <c r="A236" s="9"/>
      <c r="B236" s="9"/>
      <c r="C236" s="9"/>
      <c r="D236" s="9"/>
    </row>
    <row r="237">
      <c r="A237" s="9"/>
      <c r="B237" s="9"/>
      <c r="C237" s="9"/>
      <c r="D237" s="9"/>
    </row>
    <row r="238">
      <c r="A238" s="9"/>
      <c r="B238" s="9"/>
      <c r="C238" s="9"/>
      <c r="D238" s="9"/>
    </row>
    <row r="239">
      <c r="A239" s="9"/>
      <c r="B239" s="9"/>
      <c r="C239" s="9"/>
      <c r="D239" s="9"/>
    </row>
    <row r="240">
      <c r="A240" s="9"/>
      <c r="B240" s="9"/>
      <c r="C240" s="9"/>
      <c r="D240" s="9"/>
    </row>
    <row r="241">
      <c r="A241" s="9"/>
      <c r="B241" s="9"/>
      <c r="C241" s="9"/>
      <c r="D241" s="9"/>
    </row>
    <row r="242">
      <c r="A242" s="9"/>
      <c r="B242" s="9"/>
      <c r="C242" s="9"/>
      <c r="D242" s="9"/>
    </row>
    <row r="243">
      <c r="A243" s="9"/>
      <c r="B243" s="9"/>
      <c r="C243" s="9"/>
      <c r="D243" s="9"/>
    </row>
    <row r="244">
      <c r="A244" s="9"/>
      <c r="B244" s="9"/>
      <c r="C244" s="9"/>
      <c r="D244" s="9"/>
    </row>
    <row r="245">
      <c r="A245" s="9"/>
      <c r="B245" s="9"/>
      <c r="C245" s="9"/>
      <c r="D245" s="9"/>
    </row>
    <row r="246">
      <c r="A246" s="9"/>
      <c r="B246" s="9"/>
      <c r="C246" s="9"/>
      <c r="D246" s="9"/>
    </row>
    <row r="247">
      <c r="A247" s="9"/>
      <c r="B247" s="9"/>
      <c r="C247" s="9"/>
      <c r="D247" s="9"/>
    </row>
    <row r="248">
      <c r="A248" s="9"/>
      <c r="B248" s="9"/>
      <c r="C248" s="9"/>
      <c r="D248" s="9"/>
    </row>
    <row r="249">
      <c r="A249" s="9"/>
      <c r="B249" s="9"/>
      <c r="C249" s="9"/>
      <c r="D249" s="9"/>
    </row>
    <row r="250">
      <c r="A250" s="9"/>
      <c r="B250" s="9"/>
      <c r="C250" s="9"/>
      <c r="D250" s="9"/>
    </row>
    <row r="251">
      <c r="A251" s="9"/>
      <c r="B251" s="9"/>
      <c r="C251" s="9"/>
      <c r="D251" s="9"/>
    </row>
    <row r="252">
      <c r="A252" s="9"/>
      <c r="B252" s="9"/>
      <c r="C252" s="9"/>
      <c r="D252" s="9"/>
    </row>
    <row r="253">
      <c r="A253" s="9"/>
      <c r="B253" s="9"/>
      <c r="C253" s="9"/>
      <c r="D253" s="9"/>
    </row>
    <row r="254">
      <c r="A254" s="9"/>
      <c r="B254" s="9"/>
      <c r="C254" s="9"/>
      <c r="D254" s="9"/>
    </row>
    <row r="255">
      <c r="A255" s="9"/>
      <c r="B255" s="9"/>
      <c r="C255" s="9"/>
      <c r="D255" s="9"/>
    </row>
    <row r="256">
      <c r="A256" s="9"/>
      <c r="B256" s="9"/>
      <c r="C256" s="9"/>
      <c r="D256" s="9"/>
    </row>
    <row r="257">
      <c r="A257" s="9"/>
      <c r="B257" s="9"/>
      <c r="C257" s="9"/>
      <c r="D257" s="9"/>
    </row>
    <row r="258">
      <c r="A258" s="9"/>
      <c r="B258" s="9"/>
      <c r="C258" s="9"/>
      <c r="D258" s="9"/>
    </row>
    <row r="259">
      <c r="A259" s="9"/>
      <c r="B259" s="9"/>
      <c r="C259" s="9"/>
      <c r="D259" s="9"/>
    </row>
    <row r="260">
      <c r="A260" s="9"/>
      <c r="B260" s="9"/>
      <c r="C260" s="9"/>
      <c r="D260" s="9"/>
    </row>
    <row r="261">
      <c r="A261" s="9"/>
      <c r="B261" s="9"/>
      <c r="C261" s="9"/>
      <c r="D261" s="9"/>
    </row>
    <row r="262">
      <c r="A262" s="9"/>
      <c r="B262" s="9"/>
      <c r="C262" s="9"/>
      <c r="D262" s="9"/>
    </row>
    <row r="263">
      <c r="A263" s="9"/>
      <c r="B263" s="9"/>
      <c r="C263" s="9"/>
      <c r="D263" s="9"/>
    </row>
    <row r="264">
      <c r="A264" s="9"/>
      <c r="B264" s="9"/>
      <c r="C264" s="9"/>
      <c r="D264" s="9"/>
    </row>
    <row r="265">
      <c r="A265" s="9"/>
      <c r="B265" s="9"/>
      <c r="C265" s="9"/>
      <c r="D265" s="9"/>
    </row>
    <row r="266">
      <c r="A266" s="9"/>
      <c r="B266" s="9"/>
      <c r="C266" s="9"/>
      <c r="D266" s="9"/>
    </row>
    <row r="267">
      <c r="A267" s="9"/>
      <c r="B267" s="9"/>
      <c r="C267" s="9"/>
      <c r="D267" s="9"/>
    </row>
    <row r="268">
      <c r="A268" s="9"/>
      <c r="B268" s="9"/>
      <c r="C268" s="9"/>
      <c r="D268" s="9"/>
    </row>
    <row r="269">
      <c r="A269" s="9"/>
      <c r="B269" s="9"/>
      <c r="C269" s="9"/>
      <c r="D269" s="9"/>
    </row>
    <row r="270">
      <c r="A270" s="9"/>
      <c r="B270" s="9"/>
      <c r="C270" s="9"/>
      <c r="D270" s="9"/>
    </row>
    <row r="271">
      <c r="A271" s="9"/>
      <c r="B271" s="9"/>
      <c r="C271" s="9"/>
      <c r="D271" s="9"/>
    </row>
    <row r="272">
      <c r="A272" s="9"/>
      <c r="B272" s="9"/>
      <c r="C272" s="9"/>
      <c r="D272" s="9"/>
    </row>
    <row r="273">
      <c r="A273" s="9"/>
      <c r="B273" s="9"/>
      <c r="C273" s="9"/>
      <c r="D273" s="9"/>
    </row>
    <row r="274">
      <c r="A274" s="9"/>
      <c r="B274" s="9"/>
      <c r="C274" s="9"/>
      <c r="D274" s="9"/>
    </row>
    <row r="275">
      <c r="A275" s="9"/>
      <c r="B275" s="9"/>
      <c r="C275" s="9"/>
      <c r="D275" s="9"/>
    </row>
    <row r="276">
      <c r="A276" s="9"/>
      <c r="B276" s="9"/>
      <c r="C276" s="9"/>
      <c r="D276" s="9"/>
    </row>
    <row r="277">
      <c r="A277" s="9"/>
      <c r="B277" s="9"/>
      <c r="C277" s="9"/>
      <c r="D277" s="9"/>
    </row>
    <row r="278">
      <c r="A278" s="9"/>
      <c r="B278" s="9"/>
      <c r="C278" s="9"/>
      <c r="D278" s="9"/>
    </row>
    <row r="279">
      <c r="A279" s="9"/>
      <c r="B279" s="9"/>
      <c r="C279" s="9"/>
      <c r="D279" s="9"/>
    </row>
    <row r="280">
      <c r="A280" s="9"/>
      <c r="B280" s="9"/>
      <c r="C280" s="9"/>
      <c r="D280" s="9"/>
    </row>
    <row r="281">
      <c r="A281" s="9"/>
      <c r="B281" s="9"/>
      <c r="C281" s="9"/>
      <c r="D281" s="9"/>
    </row>
    <row r="282">
      <c r="A282" s="9"/>
      <c r="B282" s="9"/>
      <c r="C282" s="9"/>
      <c r="D282" s="9"/>
    </row>
    <row r="283">
      <c r="A283" s="9"/>
      <c r="B283" s="9"/>
      <c r="C283" s="9"/>
      <c r="D283" s="9"/>
    </row>
    <row r="284">
      <c r="A284" s="9"/>
      <c r="B284" s="9"/>
      <c r="C284" s="9"/>
      <c r="D284" s="9"/>
    </row>
    <row r="285">
      <c r="A285" s="9"/>
      <c r="B285" s="9"/>
      <c r="C285" s="9"/>
      <c r="D285" s="9"/>
    </row>
    <row r="286">
      <c r="A286" s="9"/>
      <c r="B286" s="9"/>
      <c r="C286" s="9"/>
      <c r="D286" s="9"/>
    </row>
    <row r="287">
      <c r="A287" s="9"/>
      <c r="B287" s="9"/>
      <c r="C287" s="9"/>
      <c r="D287" s="9"/>
    </row>
    <row r="288">
      <c r="A288" s="9"/>
      <c r="B288" s="9"/>
      <c r="C288" s="9"/>
      <c r="D288" s="9"/>
    </row>
    <row r="289">
      <c r="A289" s="9"/>
      <c r="B289" s="9"/>
      <c r="C289" s="9"/>
      <c r="D289" s="9"/>
    </row>
    <row r="290">
      <c r="A290" s="9"/>
      <c r="B290" s="9"/>
      <c r="C290" s="9"/>
      <c r="D290" s="9"/>
    </row>
    <row r="291">
      <c r="A291" s="9"/>
      <c r="B291" s="9"/>
      <c r="C291" s="9"/>
      <c r="D291" s="9"/>
    </row>
    <row r="292">
      <c r="A292" s="9"/>
      <c r="B292" s="9"/>
      <c r="C292" s="9"/>
      <c r="D292" s="9"/>
    </row>
    <row r="293">
      <c r="A293" s="9"/>
      <c r="B293" s="9"/>
      <c r="C293" s="9"/>
      <c r="D293" s="9"/>
    </row>
    <row r="294">
      <c r="A294" s="9"/>
      <c r="B294" s="9"/>
      <c r="C294" s="9"/>
      <c r="D294" s="9"/>
    </row>
    <row r="295">
      <c r="A295" s="9"/>
      <c r="B295" s="9"/>
      <c r="C295" s="9"/>
      <c r="D295" s="9"/>
    </row>
    <row r="296">
      <c r="A296" s="9"/>
      <c r="B296" s="9"/>
      <c r="C296" s="9"/>
      <c r="D296" s="9"/>
    </row>
    <row r="297">
      <c r="A297" s="9"/>
      <c r="B297" s="9"/>
      <c r="C297" s="9"/>
      <c r="D297" s="9"/>
    </row>
    <row r="298">
      <c r="A298" s="9"/>
      <c r="B298" s="9"/>
      <c r="C298" s="9"/>
      <c r="D298" s="9"/>
    </row>
    <row r="299">
      <c r="A299" s="9"/>
      <c r="B299" s="9"/>
      <c r="C299" s="9"/>
      <c r="D299" s="9"/>
    </row>
    <row r="300">
      <c r="A300" s="9"/>
      <c r="B300" s="9"/>
      <c r="C300" s="9"/>
      <c r="D300" s="9"/>
    </row>
    <row r="301">
      <c r="A301" s="9"/>
      <c r="B301" s="9"/>
      <c r="C301" s="9"/>
      <c r="D301" s="9"/>
    </row>
    <row r="302">
      <c r="A302" s="9"/>
      <c r="B302" s="9"/>
      <c r="C302" s="9"/>
      <c r="D302" s="9"/>
    </row>
    <row r="303">
      <c r="A303" s="9"/>
      <c r="B303" s="9"/>
      <c r="C303" s="9"/>
      <c r="D303" s="9"/>
    </row>
    <row r="304">
      <c r="A304" s="9"/>
      <c r="B304" s="9"/>
      <c r="C304" s="9"/>
      <c r="D304" s="9"/>
    </row>
    <row r="305">
      <c r="A305" s="9"/>
      <c r="B305" s="9"/>
      <c r="C305" s="9"/>
      <c r="D305" s="9"/>
    </row>
    <row r="306">
      <c r="A306" s="9"/>
      <c r="B306" s="9"/>
      <c r="C306" s="9"/>
      <c r="D306" s="9"/>
    </row>
    <row r="307">
      <c r="A307" s="9"/>
      <c r="B307" s="9"/>
      <c r="C307" s="9"/>
      <c r="D307" s="9"/>
    </row>
    <row r="308">
      <c r="A308" s="9"/>
      <c r="B308" s="9"/>
      <c r="C308" s="9"/>
      <c r="D308" s="9"/>
    </row>
    <row r="309">
      <c r="A309" s="9"/>
      <c r="B309" s="9"/>
      <c r="C309" s="9"/>
      <c r="D309" s="9"/>
    </row>
    <row r="310">
      <c r="A310" s="9"/>
      <c r="B310" s="9"/>
      <c r="C310" s="9"/>
      <c r="D310" s="9"/>
    </row>
    <row r="311">
      <c r="A311" s="9"/>
      <c r="B311" s="9"/>
      <c r="C311" s="9"/>
      <c r="D311" s="9"/>
    </row>
    <row r="312">
      <c r="A312" s="9"/>
      <c r="B312" s="9"/>
      <c r="C312" s="9"/>
      <c r="D312" s="9"/>
    </row>
    <row r="313">
      <c r="A313" s="9"/>
      <c r="B313" s="9"/>
      <c r="C313" s="9"/>
      <c r="D313" s="9"/>
    </row>
    <row r="314">
      <c r="A314" s="9"/>
      <c r="B314" s="9"/>
      <c r="C314" s="9"/>
      <c r="D314" s="9"/>
    </row>
    <row r="315">
      <c r="A315" s="9"/>
      <c r="B315" s="9"/>
      <c r="C315" s="9"/>
      <c r="D315" s="9"/>
    </row>
    <row r="316">
      <c r="A316" s="9"/>
      <c r="B316" s="9"/>
      <c r="C316" s="9"/>
      <c r="D316" s="9"/>
    </row>
    <row r="317">
      <c r="A317" s="9"/>
      <c r="B317" s="9"/>
      <c r="C317" s="9"/>
      <c r="D317" s="9"/>
    </row>
    <row r="318">
      <c r="A318" s="9"/>
      <c r="B318" s="9"/>
      <c r="C318" s="9"/>
      <c r="D318" s="9"/>
    </row>
    <row r="319">
      <c r="A319" s="9"/>
      <c r="B319" s="9"/>
      <c r="C319" s="9"/>
      <c r="D319" s="9"/>
    </row>
    <row r="320">
      <c r="A320" s="9"/>
      <c r="B320" s="9"/>
      <c r="C320" s="9"/>
      <c r="D320" s="9"/>
    </row>
    <row r="321">
      <c r="A321" s="9"/>
      <c r="B321" s="9"/>
      <c r="C321" s="9"/>
      <c r="D321" s="9"/>
    </row>
    <row r="322">
      <c r="A322" s="9"/>
      <c r="B322" s="9"/>
      <c r="C322" s="9"/>
      <c r="D322" s="9"/>
    </row>
    <row r="323">
      <c r="A323" s="9"/>
      <c r="B323" s="9"/>
      <c r="C323" s="9"/>
      <c r="D323" s="9"/>
    </row>
    <row r="324">
      <c r="A324" s="9"/>
      <c r="B324" s="9"/>
      <c r="C324" s="9"/>
      <c r="D324" s="9"/>
    </row>
    <row r="325">
      <c r="A325" s="9"/>
      <c r="B325" s="9"/>
      <c r="C325" s="9"/>
      <c r="D325" s="9"/>
    </row>
    <row r="326">
      <c r="A326" s="9"/>
      <c r="B326" s="9"/>
      <c r="C326" s="9"/>
      <c r="D326" s="9"/>
    </row>
    <row r="327">
      <c r="A327" s="9"/>
      <c r="B327" s="9"/>
      <c r="C327" s="9"/>
      <c r="D327" s="9"/>
    </row>
    <row r="328">
      <c r="A328" s="9"/>
      <c r="B328" s="9"/>
      <c r="C328" s="9"/>
      <c r="D328" s="9"/>
    </row>
    <row r="329">
      <c r="A329" s="9"/>
      <c r="B329" s="9"/>
      <c r="C329" s="9"/>
      <c r="D329" s="9"/>
    </row>
    <row r="330">
      <c r="A330" s="9"/>
      <c r="B330" s="9"/>
      <c r="C330" s="9"/>
      <c r="D330" s="9"/>
    </row>
    <row r="331">
      <c r="A331" s="9"/>
      <c r="B331" s="9"/>
      <c r="C331" s="9"/>
      <c r="D331" s="9"/>
    </row>
    <row r="332">
      <c r="A332" s="9"/>
      <c r="B332" s="9"/>
      <c r="C332" s="9"/>
      <c r="D332" s="9"/>
    </row>
    <row r="333">
      <c r="A333" s="9"/>
      <c r="B333" s="9"/>
      <c r="C333" s="9"/>
      <c r="D333" s="9"/>
    </row>
    <row r="334">
      <c r="A334" s="9"/>
      <c r="B334" s="9"/>
      <c r="C334" s="9"/>
      <c r="D334" s="9"/>
    </row>
    <row r="335">
      <c r="A335" s="9"/>
      <c r="B335" s="9"/>
      <c r="C335" s="9"/>
      <c r="D335" s="9"/>
    </row>
    <row r="336">
      <c r="A336" s="9"/>
      <c r="B336" s="9"/>
      <c r="C336" s="9"/>
      <c r="D336" s="9"/>
    </row>
    <row r="337">
      <c r="A337" s="9"/>
      <c r="B337" s="9"/>
      <c r="C337" s="9"/>
      <c r="D337" s="9"/>
    </row>
    <row r="338">
      <c r="A338" s="9"/>
      <c r="B338" s="9"/>
      <c r="C338" s="9"/>
      <c r="D338" s="9"/>
    </row>
    <row r="339">
      <c r="A339" s="9"/>
      <c r="B339" s="9"/>
      <c r="C339" s="9"/>
      <c r="D339" s="9"/>
    </row>
    <row r="340">
      <c r="A340" s="9"/>
      <c r="B340" s="9"/>
      <c r="C340" s="9"/>
      <c r="D340" s="9"/>
    </row>
    <row r="341">
      <c r="A341" s="9"/>
      <c r="B341" s="9"/>
      <c r="C341" s="9"/>
      <c r="D341" s="9"/>
    </row>
    <row r="342">
      <c r="A342" s="9"/>
      <c r="B342" s="9"/>
      <c r="C342" s="9"/>
      <c r="D342" s="9"/>
    </row>
    <row r="343">
      <c r="A343" s="9"/>
      <c r="B343" s="9"/>
      <c r="C343" s="9"/>
      <c r="D343" s="9"/>
    </row>
    <row r="344">
      <c r="A344" s="9"/>
      <c r="B344" s="9"/>
      <c r="C344" s="9"/>
      <c r="D344" s="9"/>
    </row>
    <row r="345">
      <c r="A345" s="9"/>
      <c r="B345" s="9"/>
      <c r="C345" s="9"/>
      <c r="D345" s="9"/>
    </row>
    <row r="346">
      <c r="A346" s="9"/>
      <c r="B346" s="9"/>
      <c r="C346" s="9"/>
      <c r="D346" s="9"/>
    </row>
    <row r="347">
      <c r="A347" s="9"/>
      <c r="B347" s="9"/>
      <c r="C347" s="9"/>
      <c r="D347" s="9"/>
    </row>
    <row r="348">
      <c r="A348" s="9"/>
      <c r="B348" s="9"/>
      <c r="C348" s="9"/>
      <c r="D348" s="9"/>
    </row>
    <row r="349">
      <c r="A349" s="9"/>
      <c r="B349" s="9"/>
      <c r="C349" s="9"/>
      <c r="D349" s="9"/>
    </row>
    <row r="350">
      <c r="A350" s="9"/>
      <c r="B350" s="9"/>
      <c r="C350" s="9"/>
      <c r="D350" s="9"/>
    </row>
    <row r="351">
      <c r="A351" s="9"/>
      <c r="B351" s="9"/>
      <c r="C351" s="9"/>
      <c r="D351" s="9"/>
    </row>
    <row r="352">
      <c r="A352" s="9"/>
      <c r="B352" s="9"/>
      <c r="C352" s="9"/>
      <c r="D352" s="9"/>
    </row>
    <row r="353">
      <c r="A353" s="9"/>
      <c r="B353" s="9"/>
      <c r="C353" s="9"/>
      <c r="D353" s="9"/>
    </row>
    <row r="354">
      <c r="A354" s="9"/>
      <c r="B354" s="9"/>
      <c r="C354" s="9"/>
      <c r="D354" s="9"/>
    </row>
    <row r="355">
      <c r="A355" s="9"/>
      <c r="B355" s="9"/>
      <c r="C355" s="9"/>
      <c r="D355" s="9"/>
    </row>
    <row r="356">
      <c r="A356" s="9"/>
      <c r="B356" s="9"/>
      <c r="C356" s="9"/>
      <c r="D356" s="9"/>
    </row>
    <row r="357">
      <c r="A357" s="9"/>
      <c r="B357" s="9"/>
      <c r="C357" s="9"/>
      <c r="D357" s="9"/>
    </row>
    <row r="358">
      <c r="A358" s="9"/>
      <c r="B358" s="9"/>
      <c r="C358" s="9"/>
      <c r="D358" s="9"/>
    </row>
    <row r="359">
      <c r="A359" s="9"/>
      <c r="B359" s="9"/>
      <c r="C359" s="9"/>
      <c r="D359" s="9"/>
    </row>
    <row r="360">
      <c r="A360" s="9"/>
      <c r="B360" s="9"/>
      <c r="C360" s="9"/>
      <c r="D360" s="9"/>
    </row>
    <row r="361">
      <c r="A361" s="9"/>
      <c r="B361" s="9"/>
      <c r="C361" s="9"/>
      <c r="D361" s="9"/>
    </row>
    <row r="362">
      <c r="A362" s="9"/>
      <c r="B362" s="9"/>
      <c r="C362" s="9"/>
      <c r="D362" s="9"/>
    </row>
    <row r="363">
      <c r="A363" s="9"/>
      <c r="B363" s="9"/>
      <c r="C363" s="9"/>
      <c r="D363" s="9"/>
    </row>
    <row r="364">
      <c r="A364" s="9"/>
      <c r="B364" s="9"/>
      <c r="C364" s="9"/>
      <c r="D364" s="9"/>
    </row>
    <row r="365">
      <c r="A365" s="9"/>
      <c r="B365" s="9"/>
      <c r="C365" s="9"/>
      <c r="D365" s="9"/>
    </row>
    <row r="366">
      <c r="A366" s="9"/>
      <c r="B366" s="9"/>
      <c r="C366" s="9"/>
      <c r="D366" s="9"/>
    </row>
    <row r="367">
      <c r="A367" s="9"/>
      <c r="B367" s="9"/>
      <c r="C367" s="9"/>
      <c r="D367" s="9"/>
    </row>
    <row r="368">
      <c r="A368" s="9"/>
      <c r="B368" s="9"/>
      <c r="C368" s="9"/>
      <c r="D368" s="9"/>
    </row>
    <row r="369">
      <c r="A369" s="9"/>
      <c r="B369" s="9"/>
      <c r="C369" s="9"/>
      <c r="D369" s="9"/>
    </row>
    <row r="370">
      <c r="A370" s="9"/>
      <c r="B370" s="9"/>
      <c r="C370" s="9"/>
      <c r="D370" s="9"/>
    </row>
    <row r="371">
      <c r="A371" s="9"/>
      <c r="B371" s="9"/>
      <c r="C371" s="9"/>
      <c r="D371" s="9"/>
    </row>
    <row r="372">
      <c r="A372" s="9"/>
      <c r="B372" s="9"/>
      <c r="C372" s="9"/>
      <c r="D372" s="9"/>
    </row>
    <row r="373">
      <c r="A373" s="9"/>
      <c r="B373" s="9"/>
      <c r="C373" s="9"/>
      <c r="D373" s="9"/>
    </row>
    <row r="374">
      <c r="A374" s="9"/>
      <c r="B374" s="9"/>
      <c r="C374" s="9"/>
      <c r="D374" s="9"/>
    </row>
    <row r="375">
      <c r="A375" s="9"/>
      <c r="B375" s="9"/>
      <c r="C375" s="9"/>
      <c r="D375" s="9"/>
    </row>
    <row r="376">
      <c r="A376" s="9"/>
      <c r="B376" s="9"/>
      <c r="C376" s="9"/>
      <c r="D376" s="9"/>
    </row>
    <row r="377">
      <c r="A377" s="9"/>
      <c r="B377" s="9"/>
      <c r="C377" s="9"/>
      <c r="D377" s="9"/>
    </row>
    <row r="378">
      <c r="A378" s="9"/>
      <c r="B378" s="9"/>
      <c r="C378" s="9"/>
      <c r="D378" s="9"/>
    </row>
    <row r="379">
      <c r="A379" s="9"/>
      <c r="B379" s="9"/>
      <c r="C379" s="9"/>
      <c r="D379" s="9"/>
    </row>
    <row r="380">
      <c r="A380" s="9"/>
      <c r="B380" s="9"/>
      <c r="C380" s="9"/>
      <c r="D380" s="9"/>
    </row>
    <row r="381">
      <c r="A381" s="9"/>
      <c r="B381" s="9"/>
      <c r="C381" s="9"/>
      <c r="D381" s="9"/>
    </row>
    <row r="382">
      <c r="A382" s="9"/>
      <c r="B382" s="9"/>
      <c r="C382" s="9"/>
      <c r="D382" s="9"/>
    </row>
    <row r="383">
      <c r="A383" s="9"/>
      <c r="B383" s="9"/>
      <c r="C383" s="9"/>
      <c r="D383" s="9"/>
    </row>
    <row r="384">
      <c r="A384" s="9"/>
      <c r="B384" s="9"/>
      <c r="C384" s="9"/>
      <c r="D384" s="9"/>
    </row>
    <row r="385">
      <c r="A385" s="9"/>
      <c r="B385" s="9"/>
      <c r="C385" s="9"/>
      <c r="D385" s="9"/>
    </row>
    <row r="386">
      <c r="A386" s="9"/>
      <c r="B386" s="9"/>
      <c r="C386" s="9"/>
      <c r="D386" s="9"/>
    </row>
    <row r="387">
      <c r="A387" s="9"/>
      <c r="B387" s="9"/>
      <c r="C387" s="9"/>
      <c r="D387" s="9"/>
    </row>
    <row r="388">
      <c r="A388" s="9"/>
      <c r="B388" s="9"/>
      <c r="C388" s="9"/>
      <c r="D388" s="9"/>
    </row>
    <row r="389">
      <c r="A389" s="9"/>
      <c r="B389" s="9"/>
      <c r="C389" s="9"/>
      <c r="D389" s="9"/>
    </row>
    <row r="390">
      <c r="A390" s="9"/>
      <c r="B390" s="9"/>
      <c r="C390" s="9"/>
      <c r="D390" s="9"/>
    </row>
    <row r="391">
      <c r="A391" s="9"/>
      <c r="B391" s="9"/>
      <c r="C391" s="9"/>
      <c r="D391" s="9"/>
    </row>
    <row r="392">
      <c r="A392" s="9"/>
      <c r="B392" s="9"/>
      <c r="C392" s="9"/>
      <c r="D392" s="9"/>
    </row>
    <row r="393">
      <c r="A393" s="9"/>
      <c r="B393" s="9"/>
      <c r="C393" s="9"/>
      <c r="D393" s="9"/>
    </row>
    <row r="394">
      <c r="A394" s="9"/>
      <c r="B394" s="9"/>
      <c r="C394" s="9"/>
      <c r="D394" s="9"/>
    </row>
    <row r="395">
      <c r="A395" s="9"/>
      <c r="B395" s="9"/>
      <c r="C395" s="9"/>
      <c r="D395" s="9"/>
    </row>
    <row r="396">
      <c r="A396" s="9"/>
      <c r="B396" s="9"/>
      <c r="C396" s="9"/>
      <c r="D396" s="9"/>
    </row>
    <row r="397">
      <c r="A397" s="9"/>
      <c r="B397" s="9"/>
      <c r="C397" s="9"/>
      <c r="D397" s="9"/>
    </row>
    <row r="398">
      <c r="A398" s="9"/>
      <c r="B398" s="9"/>
      <c r="C398" s="9"/>
      <c r="D398" s="9"/>
    </row>
    <row r="399">
      <c r="A399" s="9"/>
      <c r="B399" s="9"/>
      <c r="C399" s="9"/>
      <c r="D399" s="9"/>
    </row>
    <row r="400">
      <c r="A400" s="9"/>
      <c r="B400" s="9"/>
      <c r="C400" s="9"/>
      <c r="D400" s="9"/>
    </row>
    <row r="401">
      <c r="A401" s="9"/>
      <c r="B401" s="9"/>
      <c r="C401" s="9"/>
      <c r="D401" s="9"/>
    </row>
    <row r="402">
      <c r="A402" s="9"/>
      <c r="B402" s="9"/>
      <c r="C402" s="9"/>
      <c r="D402" s="9"/>
    </row>
    <row r="403">
      <c r="A403" s="9"/>
      <c r="B403" s="9"/>
      <c r="C403" s="9"/>
      <c r="D403" s="9"/>
    </row>
    <row r="404">
      <c r="A404" s="9"/>
      <c r="B404" s="9"/>
      <c r="C404" s="9"/>
      <c r="D404" s="9"/>
    </row>
    <row r="405">
      <c r="A405" s="9"/>
      <c r="B405" s="9"/>
      <c r="C405" s="9"/>
      <c r="D405" s="9"/>
    </row>
    <row r="406">
      <c r="A406" s="9"/>
      <c r="B406" s="9"/>
      <c r="C406" s="9"/>
      <c r="D406" s="9"/>
    </row>
    <row r="407">
      <c r="A407" s="9"/>
      <c r="B407" s="9"/>
      <c r="C407" s="9"/>
      <c r="D407" s="9"/>
    </row>
    <row r="408">
      <c r="A408" s="9"/>
      <c r="B408" s="9"/>
      <c r="C408" s="9"/>
      <c r="D408" s="9"/>
    </row>
    <row r="409">
      <c r="A409" s="9"/>
      <c r="B409" s="9"/>
      <c r="C409" s="9"/>
      <c r="D409" s="9"/>
    </row>
    <row r="410">
      <c r="A410" s="9"/>
      <c r="B410" s="9"/>
      <c r="C410" s="9"/>
      <c r="D410" s="9"/>
    </row>
    <row r="411">
      <c r="A411" s="9"/>
      <c r="B411" s="9"/>
      <c r="C411" s="9"/>
      <c r="D411" s="9"/>
    </row>
    <row r="412">
      <c r="A412" s="9"/>
      <c r="B412" s="9"/>
      <c r="C412" s="9"/>
      <c r="D412" s="9"/>
    </row>
    <row r="413">
      <c r="A413" s="9"/>
      <c r="B413" s="9"/>
      <c r="C413" s="9"/>
      <c r="D413" s="9"/>
    </row>
    <row r="414">
      <c r="A414" s="9"/>
      <c r="B414" s="9"/>
      <c r="C414" s="9"/>
      <c r="D414" s="9"/>
    </row>
    <row r="415">
      <c r="A415" s="9"/>
      <c r="B415" s="9"/>
      <c r="C415" s="9"/>
      <c r="D415" s="9"/>
    </row>
    <row r="416">
      <c r="A416" s="9"/>
      <c r="B416" s="9"/>
      <c r="C416" s="9"/>
      <c r="D416" s="9"/>
    </row>
    <row r="417">
      <c r="A417" s="9"/>
      <c r="B417" s="9"/>
      <c r="C417" s="9"/>
      <c r="D417" s="9"/>
    </row>
    <row r="418">
      <c r="A418" s="9"/>
      <c r="B418" s="9"/>
      <c r="C418" s="9"/>
      <c r="D418" s="9"/>
    </row>
    <row r="419">
      <c r="A419" s="9"/>
      <c r="B419" s="9"/>
      <c r="C419" s="9"/>
      <c r="D419" s="9"/>
    </row>
    <row r="420">
      <c r="A420" s="9"/>
      <c r="B420" s="9"/>
      <c r="C420" s="9"/>
      <c r="D420" s="9"/>
    </row>
    <row r="421">
      <c r="A421" s="9"/>
      <c r="B421" s="9"/>
      <c r="C421" s="9"/>
      <c r="D421" s="9"/>
    </row>
    <row r="422">
      <c r="A422" s="9"/>
      <c r="B422" s="9"/>
      <c r="C422" s="9"/>
      <c r="D422" s="9"/>
    </row>
    <row r="423">
      <c r="A423" s="9"/>
      <c r="B423" s="9"/>
      <c r="C423" s="9"/>
      <c r="D423" s="9"/>
    </row>
    <row r="424">
      <c r="A424" s="9"/>
      <c r="B424" s="9"/>
      <c r="C424" s="9"/>
      <c r="D424" s="9"/>
    </row>
    <row r="425">
      <c r="A425" s="9"/>
      <c r="B425" s="9"/>
      <c r="C425" s="9"/>
      <c r="D425" s="9"/>
    </row>
    <row r="426">
      <c r="A426" s="9"/>
      <c r="B426" s="9"/>
      <c r="C426" s="9"/>
      <c r="D426" s="9"/>
    </row>
    <row r="427">
      <c r="A427" s="9"/>
      <c r="B427" s="9"/>
      <c r="C427" s="9"/>
      <c r="D427" s="9"/>
    </row>
    <row r="428">
      <c r="A428" s="9"/>
      <c r="B428" s="9"/>
      <c r="C428" s="9"/>
      <c r="D428" s="9"/>
    </row>
    <row r="429">
      <c r="A429" s="9"/>
      <c r="B429" s="9"/>
      <c r="C429" s="9"/>
      <c r="D429" s="9"/>
    </row>
    <row r="430">
      <c r="A430" s="9"/>
      <c r="B430" s="9"/>
      <c r="C430" s="9"/>
      <c r="D430" s="9"/>
    </row>
    <row r="431">
      <c r="A431" s="9"/>
      <c r="B431" s="9"/>
      <c r="C431" s="9"/>
      <c r="D431" s="9"/>
    </row>
    <row r="432">
      <c r="A432" s="9"/>
      <c r="B432" s="9"/>
      <c r="C432" s="9"/>
      <c r="D432" s="9"/>
    </row>
    <row r="433">
      <c r="A433" s="9"/>
      <c r="B433" s="9"/>
      <c r="C433" s="9"/>
      <c r="D433" s="9"/>
    </row>
    <row r="434">
      <c r="A434" s="9"/>
      <c r="B434" s="9"/>
      <c r="C434" s="9"/>
      <c r="D434" s="9"/>
    </row>
    <row r="435">
      <c r="A435" s="9"/>
      <c r="B435" s="9"/>
      <c r="C435" s="9"/>
      <c r="D435" s="9"/>
    </row>
    <row r="436">
      <c r="A436" s="9"/>
      <c r="B436" s="9"/>
      <c r="C436" s="9"/>
      <c r="D436" s="9"/>
    </row>
    <row r="437">
      <c r="A437" s="9"/>
      <c r="B437" s="9"/>
      <c r="C437" s="9"/>
      <c r="D437" s="9"/>
    </row>
    <row r="438">
      <c r="A438" s="9"/>
      <c r="B438" s="9"/>
      <c r="C438" s="9"/>
      <c r="D438" s="9"/>
    </row>
    <row r="439">
      <c r="A439" s="9"/>
      <c r="B439" s="9"/>
      <c r="C439" s="9"/>
      <c r="D439" s="9"/>
    </row>
    <row r="440">
      <c r="A440" s="9"/>
      <c r="B440" s="9"/>
      <c r="C440" s="9"/>
      <c r="D440" s="9"/>
    </row>
    <row r="441">
      <c r="A441" s="9"/>
      <c r="B441" s="9"/>
      <c r="C441" s="9"/>
      <c r="D441" s="9"/>
    </row>
    <row r="442">
      <c r="A442" s="9"/>
      <c r="B442" s="9"/>
      <c r="C442" s="9"/>
      <c r="D442" s="9"/>
    </row>
    <row r="443">
      <c r="A443" s="9"/>
      <c r="B443" s="9"/>
      <c r="C443" s="9"/>
      <c r="D443" s="9"/>
    </row>
    <row r="444">
      <c r="A444" s="9"/>
      <c r="B444" s="9"/>
      <c r="C444" s="9"/>
      <c r="D444" s="9"/>
    </row>
    <row r="445">
      <c r="A445" s="9"/>
      <c r="B445" s="9"/>
      <c r="C445" s="9"/>
      <c r="D445" s="9"/>
    </row>
    <row r="446">
      <c r="A446" s="9"/>
      <c r="B446" s="9"/>
      <c r="C446" s="9"/>
      <c r="D446" s="9"/>
    </row>
    <row r="447">
      <c r="A447" s="9"/>
      <c r="B447" s="9"/>
      <c r="C447" s="9"/>
      <c r="D447" s="9"/>
    </row>
    <row r="448">
      <c r="A448" s="9"/>
      <c r="B448" s="9"/>
      <c r="C448" s="9"/>
      <c r="D448" s="9"/>
    </row>
    <row r="449">
      <c r="A449" s="9"/>
      <c r="B449" s="9"/>
      <c r="C449" s="9"/>
      <c r="D449" s="9"/>
    </row>
    <row r="450">
      <c r="A450" s="9"/>
      <c r="B450" s="9"/>
      <c r="C450" s="9"/>
      <c r="D450" s="9"/>
    </row>
    <row r="451">
      <c r="A451" s="9"/>
      <c r="B451" s="9"/>
      <c r="C451" s="9"/>
      <c r="D451" s="9"/>
    </row>
    <row r="452">
      <c r="A452" s="9"/>
      <c r="B452" s="9"/>
      <c r="C452" s="9"/>
      <c r="D452" s="9"/>
    </row>
    <row r="453">
      <c r="A453" s="9"/>
      <c r="B453" s="9"/>
      <c r="C453" s="9"/>
      <c r="D453" s="9"/>
    </row>
    <row r="454">
      <c r="A454" s="9"/>
      <c r="B454" s="9"/>
      <c r="C454" s="9"/>
      <c r="D454" s="9"/>
    </row>
    <row r="455">
      <c r="A455" s="9"/>
      <c r="B455" s="9"/>
      <c r="C455" s="9"/>
      <c r="D455" s="9"/>
    </row>
    <row r="456">
      <c r="A456" s="9"/>
      <c r="B456" s="9"/>
      <c r="C456" s="9"/>
      <c r="D456" s="9"/>
    </row>
    <row r="457">
      <c r="A457" s="9"/>
      <c r="B457" s="9"/>
      <c r="C457" s="9"/>
      <c r="D457" s="9"/>
    </row>
    <row r="458">
      <c r="A458" s="9"/>
      <c r="B458" s="9"/>
      <c r="C458" s="9"/>
      <c r="D458" s="9"/>
    </row>
    <row r="459">
      <c r="A459" s="9"/>
      <c r="B459" s="9"/>
      <c r="C459" s="9"/>
      <c r="D459" s="9"/>
    </row>
    <row r="460">
      <c r="A460" s="9"/>
      <c r="B460" s="9"/>
      <c r="C460" s="9"/>
      <c r="D460" s="9"/>
    </row>
    <row r="461">
      <c r="A461" s="9"/>
      <c r="B461" s="9"/>
      <c r="C461" s="9"/>
      <c r="D461" s="9"/>
    </row>
    <row r="462">
      <c r="A462" s="9"/>
      <c r="B462" s="9"/>
      <c r="C462" s="9"/>
      <c r="D462" s="9"/>
    </row>
    <row r="463">
      <c r="A463" s="9"/>
      <c r="B463" s="9"/>
      <c r="C463" s="9"/>
      <c r="D463" s="9"/>
    </row>
    <row r="464">
      <c r="A464" s="9"/>
      <c r="B464" s="9"/>
      <c r="C464" s="9"/>
      <c r="D464" s="9"/>
    </row>
    <row r="465">
      <c r="A465" s="9"/>
      <c r="B465" s="9"/>
      <c r="C465" s="9"/>
      <c r="D465" s="9"/>
    </row>
    <row r="466">
      <c r="A466" s="9"/>
      <c r="B466" s="9"/>
      <c r="C466" s="9"/>
      <c r="D466" s="9"/>
    </row>
    <row r="467">
      <c r="A467" s="9"/>
      <c r="B467" s="9"/>
      <c r="C467" s="9"/>
      <c r="D467" s="9"/>
    </row>
    <row r="468">
      <c r="A468" s="9"/>
      <c r="B468" s="9"/>
      <c r="C468" s="9"/>
      <c r="D468" s="9"/>
    </row>
    <row r="469">
      <c r="A469" s="9"/>
      <c r="B469" s="9"/>
      <c r="C469" s="9"/>
      <c r="D469" s="9"/>
    </row>
    <row r="470">
      <c r="A470" s="9"/>
      <c r="B470" s="9"/>
      <c r="C470" s="9"/>
      <c r="D470" s="9"/>
    </row>
    <row r="471">
      <c r="A471" s="9"/>
      <c r="B471" s="9"/>
      <c r="C471" s="9"/>
      <c r="D471" s="9"/>
    </row>
    <row r="472">
      <c r="A472" s="9"/>
      <c r="B472" s="9"/>
      <c r="C472" s="9"/>
      <c r="D472" s="9"/>
    </row>
    <row r="473">
      <c r="A473" s="9"/>
      <c r="B473" s="9"/>
      <c r="C473" s="9"/>
      <c r="D473" s="9"/>
    </row>
    <row r="474">
      <c r="A474" s="9"/>
      <c r="B474" s="9"/>
      <c r="C474" s="9"/>
      <c r="D474" s="9"/>
    </row>
    <row r="475">
      <c r="A475" s="9"/>
      <c r="B475" s="9"/>
      <c r="C475" s="9"/>
      <c r="D475" s="9"/>
    </row>
    <row r="476">
      <c r="A476" s="9"/>
      <c r="B476" s="9"/>
      <c r="C476" s="9"/>
      <c r="D476" s="9"/>
    </row>
    <row r="477">
      <c r="A477" s="9"/>
      <c r="B477" s="9"/>
      <c r="C477" s="9"/>
      <c r="D477" s="9"/>
    </row>
    <row r="478">
      <c r="A478" s="9"/>
      <c r="B478" s="9"/>
      <c r="C478" s="9"/>
      <c r="D478" s="9"/>
    </row>
    <row r="479">
      <c r="A479" s="9"/>
      <c r="B479" s="9"/>
      <c r="C479" s="9"/>
      <c r="D479" s="9"/>
    </row>
    <row r="480">
      <c r="A480" s="9"/>
      <c r="B480" s="9"/>
      <c r="C480" s="9"/>
      <c r="D480" s="9"/>
    </row>
    <row r="481">
      <c r="A481" s="9"/>
      <c r="B481" s="9"/>
      <c r="C481" s="9"/>
      <c r="D481" s="9"/>
    </row>
    <row r="482">
      <c r="A482" s="9"/>
      <c r="B482" s="9"/>
      <c r="C482" s="9"/>
      <c r="D482" s="9"/>
    </row>
    <row r="483">
      <c r="A483" s="9"/>
      <c r="B483" s="9"/>
      <c r="C483" s="9"/>
      <c r="D483" s="9"/>
    </row>
    <row r="484">
      <c r="A484" s="9"/>
      <c r="B484" s="9"/>
      <c r="C484" s="9"/>
      <c r="D484" s="9"/>
    </row>
    <row r="485">
      <c r="A485" s="9"/>
      <c r="B485" s="9"/>
      <c r="C485" s="9"/>
      <c r="D485" s="9"/>
    </row>
    <row r="486">
      <c r="A486" s="9"/>
      <c r="B486" s="9"/>
      <c r="C486" s="9"/>
      <c r="D486" s="9"/>
    </row>
    <row r="487">
      <c r="A487" s="9"/>
      <c r="B487" s="9"/>
      <c r="C487" s="9"/>
      <c r="D487" s="9"/>
    </row>
    <row r="488">
      <c r="A488" s="9"/>
      <c r="B488" s="9"/>
      <c r="C488" s="9"/>
      <c r="D488" s="9"/>
    </row>
    <row r="489">
      <c r="A489" s="9"/>
      <c r="B489" s="9"/>
      <c r="C489" s="9"/>
      <c r="D489" s="9"/>
    </row>
    <row r="490">
      <c r="A490" s="9"/>
      <c r="B490" s="9"/>
      <c r="C490" s="9"/>
      <c r="D490" s="9"/>
    </row>
    <row r="491">
      <c r="A491" s="9"/>
      <c r="B491" s="9"/>
      <c r="C491" s="9"/>
      <c r="D491" s="9"/>
    </row>
    <row r="492">
      <c r="A492" s="9"/>
      <c r="B492" s="9"/>
      <c r="C492" s="9"/>
      <c r="D492" s="9"/>
    </row>
    <row r="493">
      <c r="A493" s="9"/>
      <c r="B493" s="9"/>
      <c r="C493" s="9"/>
      <c r="D493" s="9"/>
    </row>
    <row r="494">
      <c r="A494" s="9"/>
      <c r="B494" s="9"/>
      <c r="C494" s="9"/>
      <c r="D494" s="9"/>
    </row>
    <row r="495">
      <c r="A495" s="9"/>
      <c r="B495" s="9"/>
      <c r="C495" s="9"/>
      <c r="D495" s="9"/>
    </row>
    <row r="496">
      <c r="A496" s="9"/>
      <c r="B496" s="9"/>
      <c r="C496" s="9"/>
      <c r="D496" s="9"/>
    </row>
    <row r="497">
      <c r="A497" s="9"/>
      <c r="B497" s="9"/>
      <c r="C497" s="9"/>
      <c r="D497" s="9"/>
    </row>
    <row r="498">
      <c r="A498" s="9"/>
      <c r="B498" s="9"/>
      <c r="C498" s="9"/>
      <c r="D498" s="9"/>
    </row>
    <row r="499">
      <c r="A499" s="9"/>
      <c r="B499" s="9"/>
      <c r="C499" s="9"/>
      <c r="D499" s="9"/>
    </row>
    <row r="500">
      <c r="A500" s="9"/>
      <c r="B500" s="9"/>
      <c r="C500" s="9"/>
      <c r="D500" s="9"/>
    </row>
    <row r="501">
      <c r="A501" s="9"/>
      <c r="B501" s="9"/>
      <c r="C501" s="9"/>
      <c r="D501" s="9"/>
    </row>
    <row r="502">
      <c r="A502" s="9"/>
      <c r="B502" s="9"/>
      <c r="C502" s="9"/>
      <c r="D502" s="9"/>
    </row>
    <row r="503">
      <c r="A503" s="9"/>
      <c r="B503" s="9"/>
      <c r="C503" s="9"/>
      <c r="D503" s="9"/>
    </row>
    <row r="504">
      <c r="A504" s="9"/>
      <c r="B504" s="9"/>
      <c r="C504" s="9"/>
      <c r="D504" s="9"/>
    </row>
    <row r="505">
      <c r="A505" s="9"/>
      <c r="B505" s="9"/>
      <c r="C505" s="9"/>
      <c r="D505" s="9"/>
    </row>
    <row r="506">
      <c r="A506" s="9"/>
      <c r="B506" s="9"/>
      <c r="C506" s="9"/>
      <c r="D506" s="9"/>
    </row>
    <row r="507">
      <c r="A507" s="9"/>
      <c r="B507" s="9"/>
      <c r="C507" s="9"/>
      <c r="D507" s="9"/>
    </row>
    <row r="508">
      <c r="A508" s="9"/>
      <c r="B508" s="9"/>
      <c r="C508" s="9"/>
      <c r="D508" s="9"/>
    </row>
    <row r="509">
      <c r="A509" s="9"/>
      <c r="B509" s="9"/>
      <c r="C509" s="9"/>
      <c r="D509" s="9"/>
    </row>
    <row r="510">
      <c r="A510" s="9"/>
      <c r="B510" s="9"/>
      <c r="C510" s="9"/>
      <c r="D510" s="9"/>
    </row>
    <row r="511">
      <c r="A511" s="9"/>
      <c r="B511" s="9"/>
      <c r="C511" s="9"/>
      <c r="D511" s="9"/>
    </row>
    <row r="512">
      <c r="A512" s="9"/>
      <c r="B512" s="9"/>
      <c r="C512" s="9"/>
      <c r="D512" s="9"/>
    </row>
    <row r="513">
      <c r="A513" s="9"/>
      <c r="B513" s="9"/>
      <c r="C513" s="9"/>
      <c r="D513" s="9"/>
    </row>
    <row r="514">
      <c r="A514" s="9"/>
      <c r="B514" s="9"/>
      <c r="C514" s="9"/>
      <c r="D514" s="9"/>
    </row>
    <row r="515">
      <c r="A515" s="9"/>
      <c r="B515" s="9"/>
      <c r="C515" s="9"/>
      <c r="D515" s="9"/>
    </row>
    <row r="516">
      <c r="A516" s="9"/>
      <c r="B516" s="9"/>
      <c r="C516" s="9"/>
      <c r="D516" s="9"/>
    </row>
    <row r="517">
      <c r="A517" s="9"/>
      <c r="B517" s="9"/>
      <c r="C517" s="9"/>
      <c r="D517" s="9"/>
    </row>
    <row r="518">
      <c r="A518" s="9"/>
      <c r="B518" s="9"/>
      <c r="C518" s="9"/>
      <c r="D518" s="9"/>
    </row>
    <row r="519">
      <c r="A519" s="9"/>
      <c r="B519" s="9"/>
      <c r="C519" s="9"/>
      <c r="D519" s="9"/>
    </row>
    <row r="520">
      <c r="A520" s="9"/>
      <c r="B520" s="9"/>
      <c r="C520" s="9"/>
      <c r="D520" s="9"/>
    </row>
    <row r="521">
      <c r="A521" s="9"/>
      <c r="B521" s="9"/>
      <c r="C521" s="9"/>
      <c r="D521" s="9"/>
    </row>
    <row r="522">
      <c r="A522" s="9"/>
      <c r="B522" s="9"/>
      <c r="C522" s="9"/>
      <c r="D522" s="9"/>
    </row>
    <row r="523">
      <c r="A523" s="9"/>
      <c r="B523" s="9"/>
      <c r="C523" s="9"/>
      <c r="D523" s="9"/>
    </row>
    <row r="524">
      <c r="A524" s="9"/>
      <c r="B524" s="9"/>
      <c r="C524" s="9"/>
      <c r="D524" s="9"/>
    </row>
    <row r="525">
      <c r="A525" s="9"/>
      <c r="B525" s="9"/>
      <c r="C525" s="9"/>
      <c r="D525" s="9"/>
    </row>
    <row r="526">
      <c r="A526" s="9"/>
      <c r="B526" s="9"/>
      <c r="C526" s="9"/>
      <c r="D526" s="9"/>
    </row>
    <row r="527">
      <c r="A527" s="9"/>
      <c r="B527" s="9"/>
      <c r="C527" s="9"/>
      <c r="D527" s="9"/>
    </row>
    <row r="528">
      <c r="A528" s="9"/>
      <c r="B528" s="9"/>
      <c r="C528" s="9"/>
      <c r="D528" s="9"/>
    </row>
    <row r="529">
      <c r="A529" s="9"/>
      <c r="B529" s="9"/>
      <c r="C529" s="9"/>
      <c r="D529" s="9"/>
    </row>
    <row r="530">
      <c r="A530" s="9"/>
      <c r="B530" s="9"/>
      <c r="C530" s="9"/>
      <c r="D530" s="9"/>
    </row>
    <row r="531">
      <c r="A531" s="9"/>
      <c r="B531" s="9"/>
      <c r="C531" s="9"/>
      <c r="D531" s="9"/>
    </row>
    <row r="532">
      <c r="A532" s="9"/>
      <c r="B532" s="9"/>
      <c r="C532" s="9"/>
      <c r="D532" s="9"/>
    </row>
    <row r="533">
      <c r="A533" s="9"/>
      <c r="B533" s="9"/>
      <c r="C533" s="9"/>
      <c r="D533" s="9"/>
    </row>
    <row r="534">
      <c r="A534" s="9"/>
      <c r="B534" s="9"/>
      <c r="C534" s="9"/>
      <c r="D534" s="9"/>
    </row>
    <row r="535">
      <c r="A535" s="9"/>
      <c r="B535" s="9"/>
      <c r="C535" s="9"/>
      <c r="D535" s="9"/>
    </row>
    <row r="536">
      <c r="A536" s="9"/>
      <c r="B536" s="9"/>
      <c r="C536" s="9"/>
      <c r="D536" s="9"/>
    </row>
    <row r="537">
      <c r="A537" s="9"/>
      <c r="B537" s="9"/>
      <c r="C537" s="9"/>
      <c r="D537" s="9"/>
    </row>
    <row r="538">
      <c r="A538" s="9"/>
      <c r="B538" s="9"/>
      <c r="C538" s="9"/>
      <c r="D538" s="9"/>
    </row>
    <row r="539">
      <c r="A539" s="9"/>
      <c r="B539" s="9"/>
      <c r="C539" s="9"/>
      <c r="D539" s="9"/>
    </row>
    <row r="540">
      <c r="A540" s="9"/>
      <c r="B540" s="9"/>
      <c r="C540" s="9"/>
      <c r="D540" s="9"/>
    </row>
    <row r="541">
      <c r="A541" s="9"/>
      <c r="B541" s="9"/>
      <c r="C541" s="9"/>
      <c r="D541" s="9"/>
    </row>
    <row r="542">
      <c r="A542" s="9"/>
      <c r="B542" s="9"/>
      <c r="C542" s="9"/>
      <c r="D542" s="9"/>
    </row>
    <row r="543">
      <c r="A543" s="9"/>
      <c r="B543" s="9"/>
      <c r="C543" s="9"/>
      <c r="D543" s="9"/>
    </row>
    <row r="544">
      <c r="A544" s="9"/>
      <c r="B544" s="9"/>
      <c r="C544" s="9"/>
      <c r="D544" s="9"/>
    </row>
    <row r="545">
      <c r="A545" s="9"/>
      <c r="B545" s="9"/>
      <c r="C545" s="9"/>
      <c r="D545" s="9"/>
    </row>
    <row r="546">
      <c r="A546" s="9"/>
      <c r="B546" s="9"/>
      <c r="C546" s="9"/>
      <c r="D546" s="9"/>
    </row>
    <row r="547">
      <c r="A547" s="9"/>
      <c r="B547" s="9"/>
      <c r="C547" s="9"/>
      <c r="D547" s="9"/>
    </row>
    <row r="548">
      <c r="A548" s="9"/>
      <c r="B548" s="9"/>
      <c r="C548" s="9"/>
      <c r="D548" s="9"/>
    </row>
    <row r="549">
      <c r="A549" s="9"/>
      <c r="B549" s="9"/>
      <c r="C549" s="9"/>
      <c r="D549" s="9"/>
    </row>
    <row r="550">
      <c r="A550" s="9"/>
      <c r="B550" s="9"/>
      <c r="C550" s="9"/>
      <c r="D550" s="9"/>
    </row>
    <row r="551">
      <c r="A551" s="9"/>
      <c r="B551" s="9"/>
      <c r="C551" s="9"/>
      <c r="D551" s="9"/>
    </row>
    <row r="552">
      <c r="A552" s="9"/>
      <c r="B552" s="9"/>
      <c r="C552" s="9"/>
      <c r="D552" s="9"/>
    </row>
    <row r="553">
      <c r="A553" s="9"/>
      <c r="B553" s="9"/>
      <c r="C553" s="9"/>
      <c r="D553" s="9"/>
    </row>
    <row r="554">
      <c r="A554" s="9"/>
      <c r="B554" s="9"/>
      <c r="C554" s="9"/>
      <c r="D554" s="9"/>
    </row>
    <row r="555">
      <c r="A555" s="9"/>
      <c r="B555" s="9"/>
      <c r="C555" s="9"/>
      <c r="D555" s="9"/>
    </row>
    <row r="556">
      <c r="A556" s="9"/>
      <c r="B556" s="9"/>
      <c r="C556" s="9"/>
      <c r="D556" s="9"/>
    </row>
    <row r="557">
      <c r="A557" s="9"/>
      <c r="B557" s="9"/>
      <c r="C557" s="9"/>
      <c r="D557" s="9"/>
    </row>
    <row r="558">
      <c r="A558" s="9"/>
      <c r="B558" s="9"/>
      <c r="C558" s="9"/>
      <c r="D558" s="9"/>
    </row>
    <row r="559">
      <c r="A559" s="9"/>
      <c r="B559" s="9"/>
      <c r="C559" s="9"/>
      <c r="D559" s="9"/>
    </row>
    <row r="560">
      <c r="A560" s="9"/>
      <c r="B560" s="9"/>
      <c r="C560" s="9"/>
      <c r="D560" s="9"/>
    </row>
    <row r="561">
      <c r="A561" s="9"/>
      <c r="B561" s="9"/>
      <c r="C561" s="9"/>
      <c r="D561" s="9"/>
    </row>
    <row r="562">
      <c r="A562" s="9"/>
      <c r="B562" s="9"/>
      <c r="C562" s="9"/>
      <c r="D562" s="9"/>
    </row>
    <row r="563">
      <c r="A563" s="9"/>
      <c r="B563" s="9"/>
      <c r="C563" s="9"/>
      <c r="D563" s="9"/>
    </row>
    <row r="564">
      <c r="A564" s="9"/>
      <c r="B564" s="9"/>
      <c r="C564" s="9"/>
      <c r="D564" s="9"/>
    </row>
    <row r="565">
      <c r="A565" s="9"/>
      <c r="B565" s="9"/>
      <c r="C565" s="9"/>
      <c r="D565" s="9"/>
    </row>
    <row r="566">
      <c r="A566" s="9"/>
      <c r="B566" s="9"/>
      <c r="C566" s="9"/>
      <c r="D566" s="9"/>
    </row>
    <row r="567">
      <c r="A567" s="9"/>
      <c r="B567" s="9"/>
      <c r="C567" s="9"/>
      <c r="D567" s="9"/>
    </row>
    <row r="568">
      <c r="A568" s="9"/>
      <c r="B568" s="9"/>
      <c r="C568" s="9"/>
      <c r="D568" s="9"/>
    </row>
    <row r="569">
      <c r="A569" s="9"/>
      <c r="B569" s="9"/>
      <c r="C569" s="9"/>
      <c r="D569" s="9"/>
    </row>
    <row r="570">
      <c r="A570" s="9"/>
      <c r="B570" s="9"/>
      <c r="C570" s="9"/>
      <c r="D570" s="9"/>
    </row>
    <row r="571">
      <c r="A571" s="9"/>
      <c r="B571" s="9"/>
      <c r="C571" s="9"/>
      <c r="D571" s="9"/>
    </row>
    <row r="572">
      <c r="A572" s="9"/>
      <c r="B572" s="9"/>
      <c r="C572" s="9"/>
      <c r="D572" s="9"/>
    </row>
    <row r="573">
      <c r="A573" s="9"/>
      <c r="B573" s="9"/>
      <c r="C573" s="9"/>
      <c r="D573" s="9"/>
    </row>
    <row r="574">
      <c r="A574" s="9"/>
      <c r="B574" s="9"/>
      <c r="C574" s="9"/>
      <c r="D574" s="9"/>
    </row>
    <row r="575">
      <c r="A575" s="9"/>
      <c r="B575" s="9"/>
      <c r="C575" s="9"/>
      <c r="D575" s="9"/>
    </row>
    <row r="576">
      <c r="A576" s="9"/>
      <c r="B576" s="9"/>
      <c r="C576" s="9"/>
      <c r="D576" s="9"/>
    </row>
    <row r="577">
      <c r="A577" s="9"/>
      <c r="B577" s="9"/>
      <c r="C577" s="9"/>
      <c r="D577" s="9"/>
    </row>
    <row r="578">
      <c r="A578" s="9"/>
      <c r="B578" s="9"/>
      <c r="C578" s="9"/>
      <c r="D578" s="9"/>
    </row>
    <row r="579">
      <c r="A579" s="9"/>
      <c r="B579" s="9"/>
      <c r="C579" s="9"/>
      <c r="D579" s="9"/>
    </row>
    <row r="580">
      <c r="A580" s="9"/>
      <c r="B580" s="9"/>
      <c r="C580" s="9"/>
      <c r="D580" s="9"/>
    </row>
    <row r="581">
      <c r="A581" s="9"/>
      <c r="B581" s="9"/>
      <c r="C581" s="9"/>
      <c r="D581" s="9"/>
    </row>
    <row r="582">
      <c r="A582" s="9"/>
      <c r="B582" s="9"/>
      <c r="C582" s="9"/>
      <c r="D582" s="9"/>
    </row>
    <row r="583">
      <c r="A583" s="9"/>
      <c r="B583" s="9"/>
      <c r="C583" s="9"/>
      <c r="D583" s="9"/>
    </row>
    <row r="584">
      <c r="A584" s="9"/>
      <c r="B584" s="9"/>
      <c r="C584" s="9"/>
      <c r="D584" s="9"/>
    </row>
    <row r="585">
      <c r="A585" s="9"/>
      <c r="B585" s="9"/>
      <c r="C585" s="9"/>
      <c r="D585" s="9"/>
    </row>
    <row r="586">
      <c r="A586" s="9"/>
      <c r="B586" s="9"/>
      <c r="C586" s="9"/>
      <c r="D586" s="9"/>
    </row>
    <row r="587">
      <c r="A587" s="9"/>
      <c r="B587" s="9"/>
      <c r="C587" s="9"/>
      <c r="D587" s="9"/>
    </row>
    <row r="588">
      <c r="A588" s="9"/>
      <c r="B588" s="9"/>
      <c r="C588" s="9"/>
      <c r="D588" s="9"/>
    </row>
    <row r="589">
      <c r="A589" s="9"/>
      <c r="B589" s="9"/>
      <c r="C589" s="9"/>
      <c r="D589" s="9"/>
    </row>
    <row r="590">
      <c r="A590" s="9"/>
      <c r="B590" s="9"/>
      <c r="C590" s="9"/>
      <c r="D590" s="9"/>
    </row>
    <row r="591">
      <c r="A591" s="9"/>
      <c r="B591" s="9"/>
      <c r="C591" s="9"/>
      <c r="D591" s="9"/>
    </row>
    <row r="592">
      <c r="A592" s="9"/>
      <c r="B592" s="9"/>
      <c r="C592" s="9"/>
      <c r="D592" s="9"/>
    </row>
    <row r="593">
      <c r="A593" s="9"/>
      <c r="B593" s="9"/>
      <c r="C593" s="9"/>
      <c r="D593" s="9"/>
    </row>
    <row r="594">
      <c r="A594" s="9"/>
      <c r="B594" s="9"/>
      <c r="C594" s="9"/>
      <c r="D594" s="9"/>
    </row>
    <row r="595">
      <c r="A595" s="9"/>
      <c r="B595" s="9"/>
      <c r="C595" s="9"/>
      <c r="D595" s="9"/>
    </row>
    <row r="596">
      <c r="A596" s="9"/>
      <c r="B596" s="9"/>
      <c r="C596" s="9"/>
      <c r="D596" s="9"/>
    </row>
    <row r="597">
      <c r="A597" s="9"/>
      <c r="B597" s="9"/>
      <c r="C597" s="9"/>
      <c r="D597" s="9"/>
    </row>
    <row r="598">
      <c r="A598" s="9"/>
      <c r="B598" s="9"/>
      <c r="C598" s="9"/>
      <c r="D598" s="9"/>
    </row>
    <row r="599">
      <c r="A599" s="9"/>
      <c r="B599" s="9"/>
      <c r="C599" s="9"/>
      <c r="D599" s="9"/>
    </row>
    <row r="600">
      <c r="A600" s="9"/>
      <c r="B600" s="9"/>
      <c r="C600" s="9"/>
      <c r="D600" s="9"/>
    </row>
    <row r="601">
      <c r="A601" s="9"/>
      <c r="B601" s="9"/>
      <c r="C601" s="9"/>
      <c r="D601" s="9"/>
    </row>
    <row r="602">
      <c r="A602" s="9"/>
      <c r="B602" s="9"/>
      <c r="C602" s="9"/>
      <c r="D602" s="9"/>
    </row>
    <row r="603">
      <c r="A603" s="9"/>
      <c r="B603" s="9"/>
      <c r="C603" s="9"/>
      <c r="D603" s="9"/>
    </row>
    <row r="604">
      <c r="A604" s="9"/>
      <c r="B604" s="9"/>
      <c r="C604" s="9"/>
      <c r="D604" s="9"/>
    </row>
    <row r="605">
      <c r="A605" s="9"/>
      <c r="B605" s="9"/>
      <c r="C605" s="9"/>
      <c r="D605" s="9"/>
    </row>
    <row r="606">
      <c r="A606" s="9"/>
      <c r="B606" s="9"/>
      <c r="C606" s="9"/>
      <c r="D606" s="9"/>
    </row>
    <row r="607">
      <c r="A607" s="9"/>
      <c r="B607" s="9"/>
      <c r="C607" s="9"/>
      <c r="D607" s="9"/>
    </row>
    <row r="608">
      <c r="A608" s="9"/>
      <c r="B608" s="9"/>
      <c r="C608" s="9"/>
      <c r="D608" s="9"/>
    </row>
    <row r="609">
      <c r="A609" s="9"/>
      <c r="B609" s="9"/>
      <c r="C609" s="9"/>
      <c r="D609" s="9"/>
    </row>
    <row r="610">
      <c r="A610" s="9"/>
      <c r="B610" s="9"/>
      <c r="C610" s="9"/>
      <c r="D610" s="9"/>
    </row>
    <row r="611">
      <c r="A611" s="9"/>
      <c r="B611" s="9"/>
      <c r="C611" s="9"/>
      <c r="D611" s="9"/>
    </row>
    <row r="612">
      <c r="A612" s="9"/>
      <c r="B612" s="9"/>
      <c r="C612" s="9"/>
      <c r="D612" s="9"/>
    </row>
    <row r="613">
      <c r="A613" s="9"/>
      <c r="B613" s="9"/>
      <c r="C613" s="9"/>
      <c r="D613" s="9"/>
    </row>
    <row r="614">
      <c r="A614" s="9"/>
      <c r="B614" s="9"/>
      <c r="C614" s="9"/>
      <c r="D614" s="9"/>
    </row>
    <row r="615">
      <c r="A615" s="9"/>
      <c r="B615" s="9"/>
      <c r="C615" s="9"/>
      <c r="D615" s="9"/>
    </row>
    <row r="616">
      <c r="A616" s="9"/>
      <c r="B616" s="9"/>
      <c r="C616" s="9"/>
      <c r="D616" s="9"/>
    </row>
    <row r="617">
      <c r="A617" s="9"/>
      <c r="B617" s="9"/>
      <c r="C617" s="9"/>
      <c r="D617" s="9"/>
    </row>
    <row r="618">
      <c r="A618" s="9"/>
      <c r="B618" s="9"/>
      <c r="C618" s="9"/>
      <c r="D618" s="9"/>
    </row>
    <row r="619">
      <c r="A619" s="9"/>
      <c r="B619" s="9"/>
      <c r="C619" s="9"/>
      <c r="D619" s="9"/>
    </row>
    <row r="620">
      <c r="A620" s="9"/>
      <c r="B620" s="9"/>
      <c r="C620" s="9"/>
      <c r="D620" s="9"/>
    </row>
    <row r="621">
      <c r="A621" s="9"/>
      <c r="B621" s="9"/>
      <c r="C621" s="9"/>
      <c r="D621" s="9"/>
    </row>
    <row r="622">
      <c r="A622" s="9"/>
      <c r="B622" s="9"/>
      <c r="C622" s="9"/>
      <c r="D622" s="9"/>
    </row>
    <row r="623">
      <c r="A623" s="9"/>
      <c r="B623" s="9"/>
      <c r="C623" s="9"/>
      <c r="D623" s="9"/>
    </row>
    <row r="624">
      <c r="A624" s="9"/>
      <c r="B624" s="9"/>
      <c r="C624" s="9"/>
      <c r="D624" s="9"/>
    </row>
    <row r="625">
      <c r="A625" s="9"/>
      <c r="B625" s="9"/>
      <c r="C625" s="9"/>
      <c r="D625" s="9"/>
    </row>
    <row r="626">
      <c r="A626" s="9"/>
      <c r="B626" s="9"/>
      <c r="C626" s="9"/>
      <c r="D626" s="9"/>
    </row>
    <row r="627">
      <c r="A627" s="9"/>
      <c r="B627" s="9"/>
      <c r="C627" s="9"/>
      <c r="D627" s="9"/>
    </row>
    <row r="628">
      <c r="A628" s="9"/>
      <c r="B628" s="9"/>
      <c r="C628" s="9"/>
      <c r="D628" s="9"/>
    </row>
    <row r="629">
      <c r="A629" s="9"/>
      <c r="B629" s="9"/>
      <c r="C629" s="9"/>
      <c r="D629" s="9"/>
    </row>
    <row r="630">
      <c r="A630" s="9"/>
      <c r="B630" s="9"/>
      <c r="C630" s="9"/>
      <c r="D630" s="9"/>
    </row>
    <row r="631">
      <c r="A631" s="9"/>
      <c r="B631" s="9"/>
      <c r="C631" s="9"/>
      <c r="D631" s="9"/>
    </row>
    <row r="632">
      <c r="A632" s="9"/>
      <c r="B632" s="9"/>
      <c r="C632" s="9"/>
      <c r="D632" s="9"/>
    </row>
    <row r="633">
      <c r="A633" s="9"/>
      <c r="B633" s="9"/>
      <c r="C633" s="9"/>
      <c r="D633" s="9"/>
    </row>
    <row r="634">
      <c r="A634" s="9"/>
      <c r="B634" s="9"/>
      <c r="C634" s="9"/>
      <c r="D634" s="9"/>
    </row>
    <row r="635">
      <c r="A635" s="9"/>
      <c r="B635" s="9"/>
      <c r="C635" s="9"/>
      <c r="D635" s="9"/>
    </row>
    <row r="636">
      <c r="A636" s="9"/>
      <c r="B636" s="9"/>
      <c r="C636" s="9"/>
      <c r="D636" s="9"/>
    </row>
    <row r="637">
      <c r="A637" s="9"/>
      <c r="B637" s="9"/>
      <c r="C637" s="9"/>
      <c r="D637" s="9"/>
    </row>
    <row r="638">
      <c r="A638" s="9"/>
      <c r="B638" s="9"/>
      <c r="C638" s="9"/>
      <c r="D638" s="9"/>
    </row>
    <row r="639">
      <c r="A639" s="9"/>
      <c r="B639" s="9"/>
      <c r="C639" s="9"/>
      <c r="D639" s="9"/>
    </row>
    <row r="640">
      <c r="A640" s="9"/>
      <c r="B640" s="9"/>
      <c r="C640" s="9"/>
      <c r="D640" s="9"/>
    </row>
    <row r="641">
      <c r="A641" s="9"/>
      <c r="B641" s="9"/>
      <c r="C641" s="9"/>
      <c r="D641" s="9"/>
    </row>
    <row r="642">
      <c r="A642" s="9"/>
      <c r="B642" s="9"/>
      <c r="C642" s="9"/>
      <c r="D642" s="9"/>
    </row>
    <row r="643">
      <c r="A643" s="9"/>
      <c r="B643" s="9"/>
      <c r="C643" s="9"/>
      <c r="D643" s="9"/>
    </row>
    <row r="644">
      <c r="A644" s="9"/>
      <c r="B644" s="9"/>
      <c r="C644" s="9"/>
      <c r="D644" s="9"/>
    </row>
    <row r="645">
      <c r="A645" s="9"/>
      <c r="B645" s="9"/>
      <c r="C645" s="9"/>
      <c r="D645" s="9"/>
    </row>
    <row r="646">
      <c r="A646" s="9"/>
      <c r="B646" s="9"/>
      <c r="C646" s="9"/>
      <c r="D646" s="9"/>
    </row>
    <row r="647">
      <c r="A647" s="9"/>
      <c r="B647" s="9"/>
      <c r="C647" s="9"/>
      <c r="D647" s="9"/>
    </row>
    <row r="648">
      <c r="A648" s="9"/>
      <c r="B648" s="9"/>
      <c r="C648" s="9"/>
      <c r="D648" s="9"/>
    </row>
    <row r="649">
      <c r="A649" s="9"/>
      <c r="B649" s="9"/>
      <c r="C649" s="9"/>
      <c r="D649" s="9"/>
    </row>
    <row r="650">
      <c r="A650" s="9"/>
      <c r="B650" s="9"/>
      <c r="C650" s="9"/>
      <c r="D650" s="9"/>
    </row>
    <row r="651">
      <c r="A651" s="9"/>
      <c r="B651" s="9"/>
      <c r="C651" s="9"/>
      <c r="D651" s="9"/>
    </row>
    <row r="652">
      <c r="A652" s="9"/>
      <c r="B652" s="9"/>
      <c r="C652" s="9"/>
      <c r="D652" s="9"/>
    </row>
    <row r="653">
      <c r="A653" s="9"/>
      <c r="B653" s="9"/>
      <c r="C653" s="9"/>
      <c r="D653" s="9"/>
    </row>
    <row r="654">
      <c r="A654" s="9"/>
      <c r="B654" s="9"/>
      <c r="C654" s="9"/>
      <c r="D654" s="9"/>
    </row>
    <row r="655">
      <c r="A655" s="9"/>
      <c r="B655" s="9"/>
      <c r="C655" s="9"/>
      <c r="D655" s="9"/>
    </row>
    <row r="656">
      <c r="A656" s="9"/>
      <c r="B656" s="9"/>
      <c r="C656" s="9"/>
      <c r="D656" s="9"/>
    </row>
    <row r="657">
      <c r="A657" s="9"/>
      <c r="B657" s="9"/>
      <c r="C657" s="9"/>
      <c r="D657" s="9"/>
    </row>
    <row r="658">
      <c r="A658" s="9"/>
      <c r="B658" s="9"/>
      <c r="C658" s="9"/>
      <c r="D658" s="9"/>
    </row>
    <row r="659">
      <c r="A659" s="9"/>
      <c r="B659" s="9"/>
      <c r="C659" s="9"/>
      <c r="D659" s="9"/>
    </row>
    <row r="660">
      <c r="A660" s="9"/>
      <c r="B660" s="9"/>
      <c r="C660" s="9"/>
      <c r="D660" s="9"/>
    </row>
    <row r="661">
      <c r="A661" s="9"/>
      <c r="B661" s="9"/>
      <c r="C661" s="9"/>
      <c r="D661" s="9"/>
    </row>
    <row r="662">
      <c r="A662" s="9"/>
      <c r="B662" s="9"/>
      <c r="C662" s="9"/>
      <c r="D662" s="9"/>
    </row>
    <row r="663">
      <c r="A663" s="9"/>
      <c r="B663" s="9"/>
      <c r="C663" s="9"/>
      <c r="D663" s="9"/>
    </row>
    <row r="664">
      <c r="A664" s="9"/>
      <c r="B664" s="9"/>
      <c r="C664" s="9"/>
      <c r="D664" s="9"/>
    </row>
    <row r="665">
      <c r="A665" s="9"/>
      <c r="B665" s="9"/>
      <c r="C665" s="9"/>
      <c r="D665" s="9"/>
    </row>
    <row r="666">
      <c r="A666" s="9"/>
      <c r="B666" s="9"/>
      <c r="C666" s="9"/>
      <c r="D666" s="9"/>
    </row>
    <row r="667">
      <c r="A667" s="9"/>
      <c r="B667" s="9"/>
      <c r="C667" s="9"/>
      <c r="D667" s="9"/>
    </row>
    <row r="668">
      <c r="A668" s="9"/>
      <c r="B668" s="9"/>
      <c r="C668" s="9"/>
      <c r="D668" s="9"/>
    </row>
    <row r="669">
      <c r="A669" s="9"/>
      <c r="B669" s="9"/>
      <c r="C669" s="9"/>
      <c r="D669" s="9"/>
    </row>
    <row r="670">
      <c r="A670" s="9"/>
      <c r="B670" s="9"/>
      <c r="C670" s="9"/>
      <c r="D670" s="9"/>
    </row>
    <row r="671">
      <c r="A671" s="9"/>
      <c r="B671" s="9"/>
      <c r="C671" s="9"/>
      <c r="D671" s="9"/>
    </row>
    <row r="672">
      <c r="A672" s="9"/>
      <c r="B672" s="9"/>
      <c r="C672" s="9"/>
      <c r="D672" s="9"/>
    </row>
    <row r="673">
      <c r="A673" s="9"/>
      <c r="B673" s="9"/>
      <c r="C673" s="9"/>
      <c r="D673" s="9"/>
    </row>
    <row r="674">
      <c r="A674" s="9"/>
      <c r="B674" s="9"/>
      <c r="C674" s="9"/>
      <c r="D674" s="9"/>
    </row>
    <row r="675">
      <c r="A675" s="9"/>
      <c r="B675" s="9"/>
      <c r="C675" s="9"/>
      <c r="D675" s="9"/>
    </row>
    <row r="676">
      <c r="A676" s="9"/>
      <c r="B676" s="9"/>
      <c r="C676" s="9"/>
      <c r="D676" s="9"/>
    </row>
    <row r="677">
      <c r="A677" s="9"/>
      <c r="B677" s="9"/>
      <c r="C677" s="9"/>
      <c r="D677" s="9"/>
    </row>
    <row r="678">
      <c r="A678" s="9"/>
      <c r="B678" s="9"/>
      <c r="C678" s="9"/>
      <c r="D678" s="9"/>
    </row>
    <row r="679">
      <c r="A679" s="9"/>
      <c r="B679" s="9"/>
      <c r="C679" s="9"/>
      <c r="D679" s="9"/>
    </row>
    <row r="680">
      <c r="A680" s="9"/>
      <c r="B680" s="9"/>
      <c r="C680" s="9"/>
      <c r="D680" s="9"/>
    </row>
    <row r="681">
      <c r="A681" s="9"/>
      <c r="B681" s="9"/>
      <c r="C681" s="9"/>
      <c r="D681" s="9"/>
    </row>
    <row r="682">
      <c r="A682" s="9"/>
      <c r="B682" s="9"/>
      <c r="C682" s="9"/>
      <c r="D682" s="9"/>
    </row>
    <row r="683">
      <c r="A683" s="9"/>
      <c r="B683" s="9"/>
      <c r="C683" s="9"/>
      <c r="D683" s="9"/>
    </row>
    <row r="684">
      <c r="A684" s="9"/>
      <c r="B684" s="9"/>
      <c r="C684" s="9"/>
      <c r="D684" s="9"/>
    </row>
    <row r="685">
      <c r="A685" s="9"/>
      <c r="B685" s="9"/>
      <c r="C685" s="9"/>
      <c r="D685" s="9"/>
    </row>
    <row r="686">
      <c r="A686" s="9"/>
      <c r="B686" s="9"/>
      <c r="C686" s="9"/>
      <c r="D686" s="9"/>
    </row>
    <row r="687">
      <c r="A687" s="9"/>
      <c r="B687" s="9"/>
      <c r="C687" s="9"/>
      <c r="D687" s="9"/>
    </row>
    <row r="688">
      <c r="A688" s="9"/>
      <c r="B688" s="9"/>
      <c r="C688" s="9"/>
      <c r="D688" s="9"/>
    </row>
    <row r="689">
      <c r="A689" s="9"/>
      <c r="B689" s="9"/>
      <c r="C689" s="9"/>
      <c r="D689" s="9"/>
    </row>
    <row r="690">
      <c r="A690" s="9"/>
      <c r="B690" s="9"/>
      <c r="C690" s="9"/>
      <c r="D690" s="9"/>
    </row>
    <row r="691">
      <c r="A691" s="9"/>
      <c r="B691" s="9"/>
      <c r="C691" s="9"/>
      <c r="D691" s="9"/>
    </row>
    <row r="692">
      <c r="A692" s="9"/>
      <c r="B692" s="9"/>
      <c r="C692" s="9"/>
      <c r="D692" s="9"/>
    </row>
    <row r="693">
      <c r="A693" s="9"/>
      <c r="B693" s="9"/>
      <c r="C693" s="9"/>
      <c r="D693" s="9"/>
    </row>
    <row r="694">
      <c r="A694" s="9"/>
      <c r="B694" s="9"/>
      <c r="C694" s="9"/>
      <c r="D694" s="9"/>
    </row>
    <row r="695">
      <c r="A695" s="9"/>
      <c r="B695" s="9"/>
      <c r="C695" s="9"/>
      <c r="D695" s="9"/>
    </row>
    <row r="696">
      <c r="A696" s="9"/>
      <c r="B696" s="9"/>
      <c r="C696" s="9"/>
      <c r="D696" s="9"/>
    </row>
    <row r="697">
      <c r="A697" s="9"/>
      <c r="B697" s="9"/>
      <c r="C697" s="9"/>
      <c r="D697" s="9"/>
    </row>
    <row r="698">
      <c r="A698" s="9"/>
      <c r="B698" s="9"/>
      <c r="C698" s="9"/>
      <c r="D698" s="9"/>
    </row>
    <row r="699">
      <c r="A699" s="9"/>
      <c r="B699" s="9"/>
      <c r="C699" s="9"/>
      <c r="D699" s="9"/>
    </row>
    <row r="700">
      <c r="A700" s="9"/>
      <c r="B700" s="9"/>
      <c r="C700" s="9"/>
      <c r="D700" s="9"/>
    </row>
    <row r="701">
      <c r="A701" s="9"/>
      <c r="B701" s="9"/>
      <c r="C701" s="9"/>
      <c r="D701" s="9"/>
    </row>
    <row r="702">
      <c r="A702" s="9"/>
      <c r="B702" s="9"/>
      <c r="C702" s="9"/>
      <c r="D702" s="9"/>
    </row>
    <row r="703">
      <c r="A703" s="9"/>
      <c r="B703" s="9"/>
      <c r="C703" s="9"/>
      <c r="D703" s="9"/>
    </row>
    <row r="704">
      <c r="A704" s="9"/>
      <c r="B704" s="9"/>
      <c r="C704" s="9"/>
      <c r="D704" s="9"/>
    </row>
    <row r="705">
      <c r="A705" s="9"/>
      <c r="B705" s="9"/>
      <c r="C705" s="9"/>
      <c r="D705" s="9"/>
    </row>
    <row r="706">
      <c r="A706" s="9"/>
      <c r="B706" s="9"/>
      <c r="C706" s="9"/>
      <c r="D706" s="9"/>
    </row>
    <row r="707">
      <c r="A707" s="9"/>
      <c r="B707" s="9"/>
      <c r="C707" s="9"/>
      <c r="D707" s="9"/>
    </row>
    <row r="708">
      <c r="A708" s="9"/>
      <c r="B708" s="9"/>
      <c r="C708" s="9"/>
      <c r="D708" s="9"/>
    </row>
    <row r="709">
      <c r="A709" s="9"/>
      <c r="B709" s="9"/>
      <c r="C709" s="9"/>
      <c r="D709" s="9"/>
    </row>
    <row r="710">
      <c r="A710" s="9"/>
      <c r="B710" s="9"/>
      <c r="C710" s="9"/>
      <c r="D710" s="9"/>
    </row>
    <row r="711">
      <c r="A711" s="9"/>
      <c r="B711" s="9"/>
      <c r="C711" s="9"/>
      <c r="D711" s="9"/>
    </row>
    <row r="712">
      <c r="A712" s="9"/>
      <c r="B712" s="9"/>
      <c r="C712" s="9"/>
      <c r="D712" s="9"/>
    </row>
    <row r="713">
      <c r="A713" s="9"/>
      <c r="B713" s="9"/>
      <c r="C713" s="9"/>
      <c r="D713" s="9"/>
    </row>
    <row r="714">
      <c r="A714" s="9"/>
      <c r="B714" s="9"/>
      <c r="C714" s="9"/>
      <c r="D714" s="9"/>
    </row>
    <row r="715">
      <c r="A715" s="9"/>
      <c r="B715" s="9"/>
      <c r="C715" s="9"/>
      <c r="D715" s="9"/>
    </row>
    <row r="716">
      <c r="A716" s="9"/>
      <c r="B716" s="9"/>
      <c r="C716" s="9"/>
      <c r="D716" s="9"/>
    </row>
    <row r="717">
      <c r="A717" s="9"/>
      <c r="B717" s="9"/>
      <c r="C717" s="9"/>
      <c r="D717" s="9"/>
    </row>
    <row r="718">
      <c r="A718" s="9"/>
      <c r="B718" s="9"/>
      <c r="C718" s="9"/>
      <c r="D718" s="9"/>
    </row>
    <row r="719">
      <c r="A719" s="9"/>
      <c r="B719" s="9"/>
      <c r="C719" s="9"/>
      <c r="D719" s="9"/>
    </row>
    <row r="720">
      <c r="A720" s="9"/>
      <c r="B720" s="9"/>
      <c r="C720" s="9"/>
      <c r="D720" s="9"/>
    </row>
    <row r="721">
      <c r="A721" s="9"/>
      <c r="B721" s="9"/>
      <c r="C721" s="9"/>
      <c r="D721" s="9"/>
    </row>
    <row r="722">
      <c r="A722" s="9"/>
      <c r="B722" s="9"/>
      <c r="C722" s="9"/>
      <c r="D722" s="9"/>
    </row>
    <row r="723">
      <c r="A723" s="9"/>
      <c r="B723" s="9"/>
      <c r="C723" s="9"/>
      <c r="D723" s="9"/>
    </row>
    <row r="724">
      <c r="A724" s="9"/>
      <c r="B724" s="9"/>
      <c r="C724" s="9"/>
      <c r="D724" s="9"/>
    </row>
    <row r="725">
      <c r="A725" s="9"/>
      <c r="B725" s="9"/>
      <c r="C725" s="9"/>
      <c r="D725" s="9"/>
    </row>
    <row r="726">
      <c r="A726" s="9"/>
      <c r="B726" s="9"/>
      <c r="C726" s="9"/>
      <c r="D726" s="9"/>
    </row>
    <row r="727">
      <c r="A727" s="9"/>
      <c r="B727" s="9"/>
      <c r="C727" s="9"/>
      <c r="D727" s="9"/>
    </row>
    <row r="728">
      <c r="A728" s="9"/>
      <c r="B728" s="9"/>
      <c r="C728" s="9"/>
      <c r="D728" s="9"/>
    </row>
    <row r="729">
      <c r="A729" s="9"/>
      <c r="B729" s="9"/>
      <c r="C729" s="9"/>
      <c r="D729" s="9"/>
    </row>
    <row r="730">
      <c r="A730" s="9"/>
      <c r="B730" s="9"/>
      <c r="C730" s="9"/>
      <c r="D730" s="9"/>
    </row>
    <row r="731">
      <c r="A731" s="9"/>
      <c r="B731" s="9"/>
      <c r="C731" s="9"/>
      <c r="D731" s="9"/>
    </row>
    <row r="732">
      <c r="A732" s="9"/>
      <c r="B732" s="9"/>
      <c r="C732" s="9"/>
      <c r="D732" s="9"/>
    </row>
    <row r="733">
      <c r="A733" s="9"/>
      <c r="B733" s="9"/>
      <c r="C733" s="9"/>
      <c r="D733" s="9"/>
    </row>
    <row r="734">
      <c r="A734" s="9"/>
      <c r="B734" s="9"/>
      <c r="C734" s="9"/>
      <c r="D734" s="9"/>
    </row>
    <row r="735">
      <c r="A735" s="9"/>
      <c r="B735" s="9"/>
      <c r="C735" s="9"/>
      <c r="D735" s="9"/>
    </row>
    <row r="736">
      <c r="A736" s="9"/>
      <c r="B736" s="9"/>
      <c r="C736" s="9"/>
      <c r="D736" s="9"/>
    </row>
    <row r="737">
      <c r="A737" s="9"/>
      <c r="B737" s="9"/>
      <c r="C737" s="9"/>
      <c r="D737" s="9"/>
    </row>
    <row r="738">
      <c r="A738" s="9"/>
      <c r="B738" s="9"/>
      <c r="C738" s="9"/>
      <c r="D738" s="9"/>
    </row>
    <row r="739">
      <c r="A739" s="9"/>
      <c r="B739" s="9"/>
      <c r="C739" s="9"/>
      <c r="D739" s="9"/>
    </row>
    <row r="740">
      <c r="A740" s="9"/>
      <c r="B740" s="9"/>
      <c r="C740" s="9"/>
      <c r="D740" s="9"/>
    </row>
    <row r="741">
      <c r="A741" s="9"/>
      <c r="B741" s="9"/>
      <c r="C741" s="9"/>
      <c r="D741" s="9"/>
    </row>
    <row r="742">
      <c r="A742" s="9"/>
      <c r="B742" s="9"/>
      <c r="C742" s="9"/>
      <c r="D742" s="9"/>
    </row>
    <row r="743">
      <c r="A743" s="9"/>
      <c r="B743" s="9"/>
      <c r="C743" s="9"/>
      <c r="D743" s="9"/>
    </row>
    <row r="744">
      <c r="A744" s="9"/>
      <c r="B744" s="9"/>
      <c r="C744" s="9"/>
      <c r="D744" s="9"/>
    </row>
    <row r="745">
      <c r="A745" s="9"/>
      <c r="B745" s="9"/>
      <c r="C745" s="9"/>
      <c r="D745" s="9"/>
    </row>
    <row r="746">
      <c r="A746" s="9"/>
      <c r="B746" s="9"/>
      <c r="C746" s="9"/>
      <c r="D746" s="9"/>
    </row>
    <row r="747">
      <c r="A747" s="9"/>
      <c r="B747" s="9"/>
      <c r="C747" s="9"/>
      <c r="D747" s="9"/>
    </row>
    <row r="748">
      <c r="A748" s="9"/>
      <c r="B748" s="9"/>
      <c r="C748" s="9"/>
      <c r="D748" s="9"/>
    </row>
    <row r="749">
      <c r="A749" s="9"/>
      <c r="B749" s="9"/>
      <c r="C749" s="9"/>
      <c r="D749" s="9"/>
    </row>
    <row r="750">
      <c r="A750" s="9"/>
      <c r="B750" s="9"/>
      <c r="C750" s="9"/>
      <c r="D750" s="9"/>
    </row>
    <row r="751">
      <c r="A751" s="9"/>
      <c r="B751" s="9"/>
      <c r="C751" s="9"/>
      <c r="D751" s="9"/>
    </row>
    <row r="752">
      <c r="A752" s="9"/>
      <c r="B752" s="9"/>
      <c r="C752" s="9"/>
      <c r="D752" s="9"/>
    </row>
    <row r="753">
      <c r="A753" s="9"/>
      <c r="B753" s="9"/>
      <c r="C753" s="9"/>
      <c r="D753" s="9"/>
    </row>
    <row r="754">
      <c r="A754" s="9"/>
      <c r="B754" s="9"/>
      <c r="C754" s="9"/>
      <c r="D754" s="9"/>
    </row>
    <row r="755">
      <c r="A755" s="9"/>
      <c r="B755" s="9"/>
      <c r="C755" s="9"/>
      <c r="D755" s="9"/>
    </row>
    <row r="756">
      <c r="A756" s="9"/>
      <c r="B756" s="9"/>
      <c r="C756" s="9"/>
      <c r="D756" s="9"/>
    </row>
    <row r="757">
      <c r="A757" s="9"/>
      <c r="B757" s="9"/>
      <c r="C757" s="9"/>
      <c r="D757" s="9"/>
    </row>
    <row r="758">
      <c r="A758" s="9"/>
      <c r="B758" s="9"/>
      <c r="C758" s="9"/>
      <c r="D758" s="9"/>
    </row>
    <row r="759">
      <c r="A759" s="9"/>
      <c r="B759" s="9"/>
      <c r="C759" s="9"/>
      <c r="D759" s="9"/>
    </row>
    <row r="760">
      <c r="A760" s="9"/>
      <c r="B760" s="9"/>
      <c r="C760" s="9"/>
      <c r="D760" s="9"/>
    </row>
    <row r="761">
      <c r="A761" s="9"/>
      <c r="B761" s="9"/>
      <c r="C761" s="9"/>
      <c r="D761" s="9"/>
    </row>
    <row r="762">
      <c r="A762" s="9"/>
      <c r="B762" s="9"/>
      <c r="C762" s="9"/>
      <c r="D762" s="9"/>
    </row>
    <row r="763">
      <c r="A763" s="9"/>
      <c r="B763" s="9"/>
      <c r="C763" s="9"/>
      <c r="D763" s="9"/>
    </row>
    <row r="764">
      <c r="A764" s="9"/>
      <c r="B764" s="9"/>
      <c r="C764" s="9"/>
      <c r="D764" s="9"/>
    </row>
    <row r="765">
      <c r="A765" s="9"/>
      <c r="B765" s="9"/>
      <c r="C765" s="9"/>
      <c r="D765" s="9"/>
    </row>
    <row r="766">
      <c r="A766" s="9"/>
      <c r="B766" s="9"/>
      <c r="C766" s="9"/>
      <c r="D766" s="9"/>
    </row>
    <row r="767">
      <c r="A767" s="9"/>
      <c r="B767" s="9"/>
      <c r="C767" s="9"/>
      <c r="D767" s="9"/>
    </row>
    <row r="768">
      <c r="A768" s="9"/>
      <c r="B768" s="9"/>
      <c r="C768" s="9"/>
      <c r="D768" s="9"/>
    </row>
    <row r="769">
      <c r="A769" s="9"/>
      <c r="B769" s="9"/>
      <c r="C769" s="9"/>
      <c r="D769" s="9"/>
    </row>
    <row r="770">
      <c r="A770" s="9"/>
      <c r="B770" s="9"/>
      <c r="C770" s="9"/>
      <c r="D770" s="9"/>
    </row>
    <row r="771">
      <c r="A771" s="9"/>
      <c r="B771" s="9"/>
      <c r="C771" s="9"/>
      <c r="D771" s="9"/>
    </row>
    <row r="772">
      <c r="A772" s="9"/>
      <c r="B772" s="9"/>
      <c r="C772" s="9"/>
      <c r="D772" s="9"/>
    </row>
    <row r="773">
      <c r="A773" s="9"/>
      <c r="B773" s="9"/>
      <c r="C773" s="9"/>
      <c r="D773" s="9"/>
    </row>
    <row r="774">
      <c r="A774" s="9"/>
      <c r="B774" s="9"/>
      <c r="C774" s="9"/>
      <c r="D774" s="9"/>
    </row>
    <row r="775">
      <c r="A775" s="9"/>
      <c r="B775" s="9"/>
      <c r="C775" s="9"/>
      <c r="D775" s="9"/>
    </row>
    <row r="776">
      <c r="A776" s="9"/>
      <c r="B776" s="9"/>
      <c r="C776" s="9"/>
      <c r="D776" s="9"/>
    </row>
    <row r="777">
      <c r="A777" s="9"/>
      <c r="B777" s="9"/>
      <c r="C777" s="9"/>
      <c r="D777" s="9"/>
    </row>
    <row r="778">
      <c r="A778" s="9"/>
      <c r="B778" s="9"/>
      <c r="C778" s="9"/>
      <c r="D778" s="9"/>
    </row>
    <row r="779">
      <c r="A779" s="9"/>
      <c r="B779" s="9"/>
      <c r="C779" s="9"/>
      <c r="D779" s="9"/>
    </row>
    <row r="780">
      <c r="A780" s="9"/>
      <c r="B780" s="9"/>
      <c r="C780" s="9"/>
      <c r="D780" s="9"/>
    </row>
    <row r="781">
      <c r="A781" s="9"/>
      <c r="B781" s="9"/>
      <c r="C781" s="9"/>
      <c r="D781" s="9"/>
    </row>
    <row r="782">
      <c r="A782" s="9"/>
      <c r="B782" s="9"/>
      <c r="C782" s="9"/>
      <c r="D782" s="9"/>
    </row>
    <row r="783">
      <c r="A783" s="9"/>
      <c r="B783" s="9"/>
      <c r="C783" s="9"/>
      <c r="D783" s="9"/>
    </row>
    <row r="784">
      <c r="A784" s="9"/>
      <c r="B784" s="9"/>
      <c r="C784" s="9"/>
      <c r="D784" s="9"/>
    </row>
    <row r="785">
      <c r="A785" s="9"/>
      <c r="B785" s="9"/>
      <c r="C785" s="9"/>
      <c r="D785" s="9"/>
    </row>
    <row r="786">
      <c r="A786" s="9"/>
      <c r="B786" s="9"/>
      <c r="C786" s="9"/>
      <c r="D786" s="9"/>
    </row>
    <row r="787">
      <c r="A787" s="9"/>
      <c r="B787" s="9"/>
      <c r="C787" s="9"/>
      <c r="D787" s="9"/>
    </row>
    <row r="788">
      <c r="A788" s="9"/>
      <c r="B788" s="9"/>
      <c r="C788" s="9"/>
      <c r="D788" s="9"/>
    </row>
    <row r="789">
      <c r="A789" s="9"/>
      <c r="B789" s="9"/>
      <c r="C789" s="9"/>
      <c r="D789" s="9"/>
    </row>
    <row r="790">
      <c r="A790" s="9"/>
      <c r="B790" s="9"/>
      <c r="C790" s="9"/>
      <c r="D790" s="9"/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  <row r="951">
      <c r="A951" s="9"/>
      <c r="B951" s="9"/>
      <c r="C951" s="9"/>
      <c r="D951" s="9"/>
    </row>
    <row r="952">
      <c r="A952" s="9"/>
      <c r="B952" s="9"/>
      <c r="C952" s="9"/>
      <c r="D952" s="9"/>
    </row>
    <row r="953">
      <c r="A953" s="9"/>
      <c r="B953" s="9"/>
      <c r="C953" s="9"/>
      <c r="D953" s="9"/>
    </row>
    <row r="954">
      <c r="A954" s="9"/>
      <c r="B954" s="9"/>
      <c r="C954" s="9"/>
      <c r="D954" s="9"/>
    </row>
    <row r="955">
      <c r="A955" s="9"/>
      <c r="B955" s="9"/>
      <c r="C955" s="9"/>
      <c r="D955" s="9"/>
    </row>
    <row r="956">
      <c r="A956" s="9"/>
      <c r="B956" s="9"/>
      <c r="C956" s="9"/>
      <c r="D956" s="9"/>
    </row>
    <row r="957">
      <c r="A957" s="9"/>
      <c r="B957" s="9"/>
      <c r="C957" s="9"/>
      <c r="D957" s="9"/>
    </row>
    <row r="958">
      <c r="A958" s="9"/>
      <c r="B958" s="9"/>
      <c r="C958" s="9"/>
      <c r="D958" s="9"/>
    </row>
    <row r="959">
      <c r="A959" s="9"/>
      <c r="B959" s="9"/>
      <c r="C959" s="9"/>
      <c r="D959" s="9"/>
    </row>
    <row r="960">
      <c r="A960" s="9"/>
      <c r="B960" s="9"/>
      <c r="C960" s="9"/>
      <c r="D960" s="9"/>
    </row>
    <row r="961">
      <c r="A961" s="9"/>
      <c r="B961" s="9"/>
      <c r="C961" s="9"/>
      <c r="D961" s="9"/>
    </row>
    <row r="962">
      <c r="A962" s="9"/>
      <c r="B962" s="9"/>
      <c r="C962" s="9"/>
      <c r="D962" s="9"/>
    </row>
    <row r="963">
      <c r="A963" s="9"/>
      <c r="B963" s="9"/>
      <c r="C963" s="9"/>
      <c r="D963" s="9"/>
    </row>
    <row r="964">
      <c r="A964" s="9"/>
      <c r="B964" s="9"/>
      <c r="C964" s="9"/>
      <c r="D964" s="9"/>
    </row>
    <row r="965">
      <c r="A965" s="9"/>
      <c r="B965" s="9"/>
      <c r="C965" s="9"/>
      <c r="D965" s="9"/>
    </row>
    <row r="966">
      <c r="A966" s="9"/>
      <c r="B966" s="9"/>
      <c r="C966" s="9"/>
      <c r="D966" s="9"/>
    </row>
    <row r="967">
      <c r="A967" s="9"/>
      <c r="B967" s="9"/>
      <c r="C967" s="9"/>
      <c r="D967" s="9"/>
    </row>
    <row r="968">
      <c r="A968" s="9"/>
      <c r="B968" s="9"/>
      <c r="C968" s="9"/>
      <c r="D968" s="9"/>
    </row>
    <row r="969">
      <c r="A969" s="9"/>
      <c r="B969" s="9"/>
      <c r="C969" s="9"/>
      <c r="D969" s="9"/>
    </row>
    <row r="970">
      <c r="A970" s="9"/>
      <c r="B970" s="9"/>
      <c r="C970" s="9"/>
      <c r="D970" s="9"/>
    </row>
    <row r="971">
      <c r="A971" s="9"/>
      <c r="B971" s="9"/>
      <c r="C971" s="9"/>
      <c r="D971" s="9"/>
    </row>
    <row r="972">
      <c r="A972" s="9"/>
      <c r="B972" s="9"/>
      <c r="C972" s="9"/>
      <c r="D972" s="9"/>
    </row>
    <row r="973">
      <c r="A973" s="9"/>
      <c r="B973" s="9"/>
      <c r="C973" s="9"/>
      <c r="D973" s="9"/>
    </row>
    <row r="974">
      <c r="A974" s="9"/>
      <c r="B974" s="9"/>
      <c r="C974" s="9"/>
      <c r="D974" s="9"/>
    </row>
    <row r="975">
      <c r="A975" s="9"/>
      <c r="B975" s="9"/>
      <c r="C975" s="9"/>
      <c r="D975" s="9"/>
    </row>
    <row r="976">
      <c r="A976" s="9"/>
      <c r="B976" s="9"/>
      <c r="C976" s="9"/>
      <c r="D976" s="9"/>
    </row>
    <row r="977">
      <c r="A977" s="9"/>
      <c r="B977" s="9"/>
      <c r="C977" s="9"/>
      <c r="D977" s="9"/>
    </row>
    <row r="978">
      <c r="A978" s="9"/>
      <c r="B978" s="9"/>
      <c r="C978" s="9"/>
      <c r="D978" s="9"/>
    </row>
    <row r="979">
      <c r="A979" s="9"/>
      <c r="B979" s="9"/>
      <c r="C979" s="9"/>
      <c r="D979" s="9"/>
    </row>
    <row r="980">
      <c r="A980" s="9"/>
      <c r="B980" s="9"/>
      <c r="C980" s="9"/>
      <c r="D980" s="9"/>
    </row>
    <row r="981">
      <c r="A981" s="9"/>
      <c r="B981" s="9"/>
      <c r="C981" s="9"/>
      <c r="D981" s="9"/>
    </row>
    <row r="982">
      <c r="A982" s="9"/>
      <c r="B982" s="9"/>
      <c r="C982" s="9"/>
      <c r="D982" s="9"/>
    </row>
    <row r="983">
      <c r="A983" s="9"/>
      <c r="B983" s="9"/>
      <c r="C983" s="9"/>
      <c r="D983" s="9"/>
    </row>
    <row r="984">
      <c r="A984" s="9"/>
      <c r="B984" s="9"/>
      <c r="C984" s="9"/>
      <c r="D984" s="9"/>
    </row>
    <row r="985">
      <c r="A985" s="9"/>
      <c r="B985" s="9"/>
      <c r="C985" s="9"/>
      <c r="D985" s="9"/>
    </row>
    <row r="986">
      <c r="A986" s="9"/>
      <c r="B986" s="9"/>
      <c r="C986" s="9"/>
      <c r="D986" s="9"/>
    </row>
    <row r="987">
      <c r="A987" s="9"/>
      <c r="B987" s="9"/>
      <c r="C987" s="9"/>
      <c r="D987" s="9"/>
    </row>
    <row r="988">
      <c r="A988" s="9"/>
      <c r="B988" s="9"/>
      <c r="C988" s="9"/>
      <c r="D988" s="9"/>
    </row>
    <row r="989">
      <c r="A989" s="9"/>
      <c r="B989" s="9"/>
      <c r="C989" s="9"/>
      <c r="D989" s="9"/>
    </row>
    <row r="990">
      <c r="A990" s="9"/>
      <c r="B990" s="9"/>
      <c r="C990" s="9"/>
      <c r="D990" s="9"/>
    </row>
    <row r="991">
      <c r="A991" s="9"/>
      <c r="B991" s="9"/>
      <c r="C991" s="9"/>
      <c r="D991" s="9"/>
    </row>
    <row r="992">
      <c r="A992" s="9"/>
      <c r="B992" s="9"/>
      <c r="C992" s="9"/>
      <c r="D992" s="9"/>
    </row>
    <row r="993">
      <c r="A993" s="9"/>
      <c r="B993" s="9"/>
      <c r="C993" s="9"/>
      <c r="D993" s="9"/>
    </row>
    <row r="994">
      <c r="A994" s="9"/>
      <c r="B994" s="9"/>
      <c r="C994" s="9"/>
      <c r="D994" s="9"/>
    </row>
    <row r="995">
      <c r="A995" s="9"/>
      <c r="B995" s="9"/>
      <c r="C995" s="9"/>
      <c r="D995" s="9"/>
    </row>
    <row r="996">
      <c r="A996" s="9"/>
      <c r="B996" s="9"/>
      <c r="C996" s="9"/>
      <c r="D996" s="9"/>
    </row>
    <row r="997">
      <c r="A997" s="9"/>
      <c r="B997" s="9"/>
      <c r="C997" s="9"/>
      <c r="D997" s="9"/>
    </row>
    <row r="998">
      <c r="A998" s="9"/>
      <c r="B998" s="9"/>
      <c r="C998" s="9"/>
      <c r="D998" s="9"/>
    </row>
    <row r="999">
      <c r="A999" s="9"/>
      <c r="B999" s="9"/>
      <c r="C999" s="9"/>
      <c r="D999" s="9"/>
    </row>
  </sheetData>
  <drawing r:id="rId1"/>
</worksheet>
</file>